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720398_polimi_it/Documents/dos interna/"/>
    </mc:Choice>
  </mc:AlternateContent>
  <xr:revisionPtr revIDLastSave="2099" documentId="8_{AF78387A-4238-4290-8AEC-6F102E63ED7C}" xr6:coauthVersionLast="47" xr6:coauthVersionMax="47" xr10:uidLastSave="{057533BA-7C06-4DEC-B218-EC701E5FDE29}"/>
  <bookViews>
    <workbookView xWindow="-108" yWindow="-108" windowWidth="23256" windowHeight="12456" xr2:uid="{EAF60AF3-C841-4C94-973F-D62E818C1D37}"/>
  </bookViews>
  <sheets>
    <sheet name="Calc" sheetId="12" r:id="rId1"/>
    <sheet name="OIR - Ingestion m(t)" sheetId="3" r:id="rId2"/>
    <sheet name="OIR - Dose coefficients e(50)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10" i="12" l="1"/>
  <c r="X110" i="12"/>
  <c r="Y107" i="12"/>
  <c r="X107" i="12"/>
  <c r="Y140" i="12"/>
  <c r="X140" i="12"/>
  <c r="Y133" i="12"/>
  <c r="X133" i="12"/>
  <c r="B64" i="12" l="1"/>
  <c r="C23" i="12"/>
  <c r="C33" i="12"/>
  <c r="C24" i="12"/>
  <c r="C25" i="12"/>
  <c r="U147" i="12"/>
  <c r="U146" i="12"/>
  <c r="U145" i="12"/>
  <c r="U144" i="12"/>
  <c r="U143" i="12"/>
  <c r="U142" i="12"/>
  <c r="U141" i="12"/>
  <c r="U140" i="12"/>
  <c r="U139" i="12"/>
  <c r="U138" i="12"/>
  <c r="U137" i="12"/>
  <c r="U136" i="12"/>
  <c r="U135" i="12"/>
  <c r="U134" i="12"/>
  <c r="U133" i="12"/>
  <c r="U132" i="12"/>
  <c r="U131" i="12"/>
  <c r="U130" i="12"/>
  <c r="U129" i="12"/>
  <c r="U128" i="12"/>
  <c r="U124" i="12"/>
  <c r="U123" i="12"/>
  <c r="U122" i="12"/>
  <c r="U121" i="12"/>
  <c r="U120" i="12"/>
  <c r="U119" i="12"/>
  <c r="U118" i="12"/>
  <c r="U117" i="12"/>
  <c r="U116" i="12"/>
  <c r="U115" i="12"/>
  <c r="U114" i="12"/>
  <c r="U113" i="12"/>
  <c r="U112" i="12"/>
  <c r="U111" i="12"/>
  <c r="U110" i="12"/>
  <c r="U109" i="12"/>
  <c r="U108" i="12"/>
  <c r="U107" i="12"/>
  <c r="U106" i="12"/>
  <c r="U105" i="12"/>
  <c r="B92" i="12"/>
  <c r="B91" i="12"/>
  <c r="B90" i="12"/>
  <c r="B89" i="12"/>
  <c r="E88" i="12"/>
  <c r="B88" i="12"/>
  <c r="C77" i="12"/>
  <c r="E92" i="12" s="1"/>
  <c r="C76" i="12"/>
  <c r="E91" i="12" s="1"/>
  <c r="C75" i="12"/>
  <c r="E90" i="12" s="1"/>
  <c r="C74" i="12"/>
  <c r="E89" i="12" s="1"/>
  <c r="C68" i="12"/>
  <c r="L75" i="12" s="1"/>
  <c r="B61" i="12"/>
  <c r="B60" i="12"/>
  <c r="B59" i="12"/>
  <c r="B58" i="12"/>
  <c r="E57" i="12"/>
  <c r="D57" i="12"/>
  <c r="B57" i="12"/>
  <c r="C34" i="12"/>
  <c r="G15" i="12"/>
  <c r="H15" i="12" s="1"/>
  <c r="E61" i="12" s="1"/>
  <c r="E15" i="12"/>
  <c r="G14" i="12"/>
  <c r="D60" i="12" s="1"/>
  <c r="E14" i="12"/>
  <c r="G10" i="12"/>
  <c r="D59" i="12" s="1"/>
  <c r="E10" i="12"/>
  <c r="G9" i="12"/>
  <c r="C44" i="12" s="1"/>
  <c r="E9" i="12"/>
  <c r="D58" i="12" l="1"/>
  <c r="C89" i="12" s="1"/>
  <c r="F23" i="12"/>
  <c r="F25" i="12"/>
  <c r="F33" i="12"/>
  <c r="F34" i="12" s="1"/>
  <c r="H9" i="12"/>
  <c r="C37" i="12" s="1"/>
  <c r="F37" i="12" s="1"/>
  <c r="C46" i="12" s="1"/>
  <c r="C45" i="12" s="1"/>
  <c r="C90" i="12"/>
  <c r="D75" i="12"/>
  <c r="C91" i="12"/>
  <c r="D76" i="12"/>
  <c r="H10" i="12"/>
  <c r="E59" i="12" s="1"/>
  <c r="F59" i="12" s="1"/>
  <c r="H59" i="12" s="1"/>
  <c r="H14" i="12"/>
  <c r="E60" i="12" s="1"/>
  <c r="F60" i="12" s="1"/>
  <c r="H60" i="12" s="1"/>
  <c r="D61" i="12"/>
  <c r="E45" i="12" l="1"/>
  <c r="D74" i="12"/>
  <c r="H24" i="12"/>
  <c r="F24" i="12"/>
  <c r="E76" i="12"/>
  <c r="E58" i="12"/>
  <c r="F58" i="12" s="1"/>
  <c r="H58" i="12" s="1"/>
  <c r="E74" i="12" s="1"/>
  <c r="F75" i="12"/>
  <c r="D90" i="12"/>
  <c r="D77" i="12"/>
  <c r="C92" i="12"/>
  <c r="C95" i="12" s="1"/>
  <c r="C96" i="12" s="1"/>
  <c r="F61" i="12"/>
  <c r="H61" i="12" s="1"/>
  <c r="E75" i="12"/>
  <c r="W133" i="12"/>
  <c r="W107" i="12"/>
  <c r="D91" i="12"/>
  <c r="F76" i="12"/>
  <c r="W110" i="12"/>
  <c r="F74" i="12" l="1"/>
  <c r="D89" i="12"/>
  <c r="D92" i="12"/>
  <c r="F77" i="12"/>
  <c r="E77" i="12"/>
  <c r="I74" i="12" s="1"/>
  <c r="W140" i="12"/>
  <c r="I75" i="12" l="1"/>
  <c r="I76" i="12" s="1"/>
  <c r="L74" i="12" s="1"/>
  <c r="V147" i="12" l="1"/>
  <c r="V143" i="12"/>
  <c r="V130" i="12"/>
  <c r="V123" i="12"/>
  <c r="V119" i="12"/>
  <c r="V115" i="12"/>
  <c r="V111" i="12"/>
  <c r="V106" i="12"/>
  <c r="F91" i="12"/>
  <c r="G91" i="12" s="1"/>
  <c r="V140" i="12"/>
  <c r="V136" i="12"/>
  <c r="V108" i="12"/>
  <c r="V146" i="12"/>
  <c r="V142" i="12"/>
  <c r="V133" i="12"/>
  <c r="V129" i="12"/>
  <c r="V122" i="12"/>
  <c r="V118" i="12"/>
  <c r="V114" i="12"/>
  <c r="V105" i="12"/>
  <c r="F92" i="12"/>
  <c r="G92" i="12" s="1"/>
  <c r="V144" i="12"/>
  <c r="V120" i="12"/>
  <c r="V107" i="12"/>
  <c r="C153" i="12"/>
  <c r="V139" i="12"/>
  <c r="V135" i="12"/>
  <c r="L76" i="12"/>
  <c r="V112" i="12"/>
  <c r="V137" i="12"/>
  <c r="V109" i="12"/>
  <c r="V145" i="12"/>
  <c r="V141" i="12"/>
  <c r="V132" i="12"/>
  <c r="V128" i="12"/>
  <c r="V121" i="12"/>
  <c r="V117" i="12"/>
  <c r="V113" i="12"/>
  <c r="F89" i="12"/>
  <c r="G89" i="12" s="1"/>
  <c r="V124" i="12"/>
  <c r="V116" i="12"/>
  <c r="V138" i="12"/>
  <c r="V134" i="12"/>
  <c r="V110" i="12"/>
  <c r="V131" i="12"/>
  <c r="F90" i="12"/>
  <c r="G90" i="12" s="1"/>
  <c r="C154" i="12" l="1"/>
  <c r="B79" i="12"/>
  <c r="C94" i="12"/>
  <c r="C97" i="12" l="1"/>
  <c r="E98" i="12" l="1"/>
  <c r="C98" i="12"/>
</calcChain>
</file>

<file path=xl/sharedStrings.xml><?xml version="1.0" encoding="utf-8"?>
<sst xmlns="http://schemas.openxmlformats.org/spreadsheetml/2006/main" count="175" uniqueCount="134">
  <si>
    <t>Giorni dopo</t>
  </si>
  <si>
    <t>MISURE</t>
  </si>
  <si>
    <t>Escrezione urinaria</t>
  </si>
  <si>
    <t>Misura [Bq/l]</t>
  </si>
  <si>
    <t>Incertezza [+/-]</t>
  </si>
  <si>
    <t>Escrezione fecale</t>
  </si>
  <si>
    <t>Norm [l/d]</t>
  </si>
  <si>
    <t>Norm [g/d]</t>
  </si>
  <si>
    <t>Misura [Bq/g]</t>
  </si>
  <si>
    <t>Misura [Bq/d]</t>
  </si>
  <si>
    <t>Incertezza [Bq/l]</t>
  </si>
  <si>
    <t>Incertezza [Bq/g]</t>
  </si>
  <si>
    <t>STAGE 2</t>
  </si>
  <si>
    <t>Radionuclide</t>
  </si>
  <si>
    <t>Sr-90</t>
  </si>
  <si>
    <t>Units</t>
  </si>
  <si>
    <t>Sv per Bq</t>
  </si>
  <si>
    <t>Material</t>
  </si>
  <si>
    <t>Dose Coefficient e(50)</t>
  </si>
  <si>
    <t>Ingestion, Strontium titanate, fA=1E-2</t>
  </si>
  <si>
    <t>Ingestion, All other chemical forms, fA=0,25</t>
  </si>
  <si>
    <t>Inhalation, Aerosols Type F, Strontium chloride, sulphate and carbonate, fA=0,25, 5 µm</t>
  </si>
  <si>
    <t>Inhalation, Aerosols Type M, Fuel fragments, all unspecified forms, fA=5E-2, 5 µm</t>
  </si>
  <si>
    <t>Inhalation, Aerosols Type S, FAP, PSL, fA=2,5E-3, 5 µm</t>
  </si>
  <si>
    <t>Route of Intake</t>
  </si>
  <si>
    <t>Ingestion</t>
  </si>
  <si>
    <t>All other chemical forms, fA=0,25</t>
  </si>
  <si>
    <t>AMTD/AMAD, µm</t>
  </si>
  <si>
    <t>-</t>
  </si>
  <si>
    <t>Content in an Organ or Excreta Sample per Intake (Reference Bioassay Functions m(t)), Bq per Bq</t>
  </si>
  <si>
    <t>Time, days</t>
  </si>
  <si>
    <t>Urine (24-hour sample)</t>
  </si>
  <si>
    <t>Faeces (24-hour sample)</t>
  </si>
  <si>
    <t>Valutazione intake ed E(50) al fine di stima OdG</t>
  </si>
  <si>
    <t>e(50)</t>
  </si>
  <si>
    <t>e(50) [Sv/Bq]</t>
  </si>
  <si>
    <t>Intake [Bq]</t>
  </si>
  <si>
    <t>m(3) [Bq/d*Bq]</t>
  </si>
  <si>
    <t>E(50) [mSv]</t>
  </si>
  <si>
    <t>Ingestione</t>
  </si>
  <si>
    <t>Giorni</t>
  </si>
  <si>
    <t>Urine</t>
  </si>
  <si>
    <t>2.1</t>
  </si>
  <si>
    <t>Scattering factor</t>
  </si>
  <si>
    <t>SF(A)</t>
  </si>
  <si>
    <t>SF(B)</t>
  </si>
  <si>
    <t>SF</t>
  </si>
  <si>
    <t>STAGE 3</t>
  </si>
  <si>
    <t>STAGE 4</t>
  </si>
  <si>
    <t>Ipotizzo pura ingestione</t>
  </si>
  <si>
    <t>Incertezza [Bq/d]</t>
  </si>
  <si>
    <t>STAGE 6.1</t>
  </si>
  <si>
    <t>6.2</t>
  </si>
  <si>
    <t>6.3</t>
  </si>
  <si>
    <t>Parametri a priori</t>
  </si>
  <si>
    <t>T=0</t>
  </si>
  <si>
    <t>6.4</t>
  </si>
  <si>
    <t>Tempo noto</t>
  </si>
  <si>
    <t>6.5</t>
  </si>
  <si>
    <t>Calcolo dose con parametri a priori</t>
  </si>
  <si>
    <t>Misura</t>
  </si>
  <si>
    <t># misura</t>
  </si>
  <si>
    <t>m(t)</t>
  </si>
  <si>
    <t>num</t>
  </si>
  <si>
    <t>den</t>
  </si>
  <si>
    <t>Urine d=3</t>
  </si>
  <si>
    <t>Urine d=6</t>
  </si>
  <si>
    <t>Feci d=6</t>
  </si>
  <si>
    <t>Feci d=13</t>
  </si>
  <si>
    <t>Metodica</t>
  </si>
  <si>
    <t>Feci</t>
  </si>
  <si>
    <t>sum num</t>
  </si>
  <si>
    <t>sum den</t>
  </si>
  <si>
    <t>ln(I)</t>
  </si>
  <si>
    <t>fA</t>
  </si>
  <si>
    <t>da cui e(50)</t>
  </si>
  <si>
    <t>6.6</t>
  </si>
  <si>
    <t>6.7</t>
  </si>
  <si>
    <t>6.8</t>
  </si>
  <si>
    <t>6.9</t>
  </si>
  <si>
    <t>I*m(t)</t>
  </si>
  <si>
    <t>eqz</t>
  </si>
  <si>
    <t>Chi-q-oss</t>
  </si>
  <si>
    <t>Numero dati</t>
  </si>
  <si>
    <t>GdL</t>
  </si>
  <si>
    <t>P-value</t>
  </si>
  <si>
    <t>Sup</t>
  </si>
  <si>
    <t>Inf</t>
  </si>
  <si>
    <t>Escrezioni fecali</t>
  </si>
  <si>
    <t>Escrezioni urinarie</t>
  </si>
  <si>
    <t>Entrambi i criteri sono stati rispettati</t>
  </si>
  <si>
    <t>6.11</t>
  </si>
  <si>
    <t>6.12</t>
  </si>
  <si>
    <t>La dose è inferiore a 6 mSv</t>
  </si>
  <si>
    <t>6.12.1</t>
  </si>
  <si>
    <t>Mod. intake</t>
  </si>
  <si>
    <t>Inhalation, Aerosols Type F, Strontium chloride, sulphate and carbonate, fA=0,25, 1 µm</t>
  </si>
  <si>
    <t>Inhalation, Aerosols Type M, Fuel fragments, all unspecified forms, fA=5E-2, 1 µm</t>
  </si>
  <si>
    <t>Inhalation, Aerosols Type S, FAP, PSL, fA=2,5E-3, 1 µm</t>
  </si>
  <si>
    <t>Strontium titanate, fA=1E-2</t>
  </si>
  <si>
    <t>STAGE 1</t>
  </si>
  <si>
    <t>CONTAMINAZIONE DA Sr-90</t>
  </si>
  <si>
    <t>Valutazione Mc</t>
  </si>
  <si>
    <t>Monitoraggio SPECIALE</t>
  </si>
  <si>
    <t>IPOTESI</t>
  </si>
  <si>
    <t>Ipotizzo no intake tra gli esami (evacuazione)</t>
  </si>
  <si>
    <t>E(rif) [Sv]</t>
  </si>
  <si>
    <t>P [Bq]</t>
  </si>
  <si>
    <t>Sintesi misure disponibili + SF associati</t>
  </si>
  <si>
    <t>Dati evidenziati:</t>
  </si>
  <si>
    <t>celle collegate ad altri fogli</t>
  </si>
  <si>
    <t>Forma chimica: sconosciuta, ipotizzo eventualmente particolato in fuga da impianto dopo incidente</t>
  </si>
  <si>
    <t>Possibile ipotesi iniziale di sola ingestione, sostenuta inoltre dal fatto che ha piovuto e dunque lo Sr-90 (fall-out) si è depositato sui vegetali (famiglia, in area rurale, dedita ad agricoltura)</t>
  </si>
  <si>
    <t>Solo una narice contaminata, quindi dovuto ad inaccortezza (strofinamento), da cui:</t>
  </si>
  <si>
    <t xml:space="preserve">Mc [Bq/d] </t>
  </si>
  <si>
    <t>NOTA sulla legenda</t>
  </si>
  <si>
    <t>NOTA:</t>
  </si>
  <si>
    <t>Ipotizzo ingestione, supportato da campione nasale (si veda ipotesi iniziali)</t>
  </si>
  <si>
    <t>dato usato: misure urine +3 giorni</t>
  </si>
  <si>
    <t>dato usato per stima OdG: misure urine +3 giorni</t>
  </si>
  <si>
    <t>Ipotizzo ingestione, supportato da campione nasale(vedi ipotesi iniziali)</t>
  </si>
  <si>
    <t>Monitoraggio speciale: scenario incidentale</t>
  </si>
  <si>
    <t>Ipotizzo no intake tra gli esami, in virtù della evacuazione e del successivo stretto controllo medico</t>
  </si>
  <si>
    <t>No intake precedenti (scenario incidentale e Sr-90 non è un NORM...), dunque:</t>
  </si>
  <si>
    <t xml:space="preserve">M(u d=3) Bq/d] </t>
  </si>
  <si>
    <t>P*SF*SF</t>
  </si>
  <si>
    <t xml:space="preserve">M(u d=3) [Bq/d] </t>
  </si>
  <si>
    <t>Associato a generica forma chimica Sr</t>
  </si>
  <si>
    <t>Sufficiente numero di dati a disposizione (4)</t>
  </si>
  <si>
    <t>Tempo intake noto: T=0</t>
  </si>
  <si>
    <t>Criterio 1, o del P-value</t>
  </si>
  <si>
    <t>Criterio 2, o del fit grafico</t>
  </si>
  <si>
    <t>Criterio 2 rispettato</t>
  </si>
  <si>
    <t>Anastasi Michele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</si>
</sst>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 wrapText="1"/>
    </xf>
    <xf numFmtId="9" fontId="0" fillId="0" borderId="0" xfId="0" applyNumberFormat="1"/>
    <xf numFmtId="0" fontId="0" fillId="0" borderId="1" xfId="0" applyBorder="1"/>
    <xf numFmtId="9" fontId="0" fillId="0" borderId="1" xfId="1" applyFont="1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1" applyFont="1" applyBorder="1"/>
    <xf numFmtId="0" fontId="2" fillId="0" borderId="0" xfId="0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/>
    <xf numFmtId="11" fontId="4" fillId="0" borderId="0" xfId="0" applyNumberFormat="1" applyFont="1"/>
    <xf numFmtId="0" fontId="5" fillId="0" borderId="0" xfId="0" applyFont="1"/>
    <xf numFmtId="0" fontId="3" fillId="0" borderId="3" xfId="0" applyFont="1" applyBorder="1" applyAlignment="1">
      <alignment horizontal="center"/>
    </xf>
    <xf numFmtId="11" fontId="0" fillId="0" borderId="6" xfId="0" applyNumberFormat="1" applyBorder="1"/>
    <xf numFmtId="11" fontId="0" fillId="0" borderId="8" xfId="0" applyNumberFormat="1" applyBorder="1"/>
    <xf numFmtId="0" fontId="4" fillId="0" borderId="6" xfId="0" applyFont="1" applyBorder="1"/>
    <xf numFmtId="0" fontId="4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1" xfId="0" applyNumberForma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1" fontId="6" fillId="0" borderId="5" xfId="0" applyNumberFormat="1" applyFont="1" applyBorder="1" applyAlignment="1">
      <alignment horizontal="center"/>
    </xf>
    <xf numFmtId="11" fontId="6" fillId="0" borderId="6" xfId="0" applyNumberFormat="1" applyFont="1" applyBorder="1" applyAlignment="1">
      <alignment horizontal="center"/>
    </xf>
    <xf numFmtId="11" fontId="6" fillId="0" borderId="7" xfId="0" applyNumberFormat="1" applyFont="1" applyBorder="1" applyAlignment="1">
      <alignment horizontal="center"/>
    </xf>
    <xf numFmtId="11" fontId="6" fillId="0" borderId="8" xfId="0" applyNumberFormat="1" applyFont="1" applyBorder="1" applyAlignment="1">
      <alignment horizontal="center"/>
    </xf>
    <xf numFmtId="164" fontId="0" fillId="0" borderId="0" xfId="0" applyNumberFormat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7" xfId="0" applyFont="1" applyBorder="1"/>
    <xf numFmtId="11" fontId="4" fillId="0" borderId="1" xfId="0" applyNumberFormat="1" applyFont="1" applyBorder="1"/>
    <xf numFmtId="0" fontId="4" fillId="0" borderId="1" xfId="0" applyFont="1" applyBorder="1"/>
    <xf numFmtId="0" fontId="4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1" fontId="4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1" fontId="4" fillId="0" borderId="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1" fontId="9" fillId="0" borderId="0" xfId="0" applyNumberFormat="1" applyFont="1"/>
    <xf numFmtId="11" fontId="9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/>
    <xf numFmtId="0" fontId="9" fillId="0" borderId="6" xfId="0" applyFont="1" applyBorder="1"/>
    <xf numFmtId="0" fontId="9" fillId="0" borderId="5" xfId="0" applyFont="1" applyBorder="1"/>
    <xf numFmtId="9" fontId="0" fillId="2" borderId="0" xfId="1" applyFont="1" applyFill="1" applyBorder="1"/>
    <xf numFmtId="0" fontId="7" fillId="0" borderId="2" xfId="0" applyFont="1" applyBorder="1" applyAlignment="1">
      <alignment horizontal="center"/>
    </xf>
    <xf numFmtId="0" fontId="7" fillId="0" borderId="4" xfId="0" applyFont="1" applyBorder="1"/>
    <xf numFmtId="0" fontId="8" fillId="0" borderId="5" xfId="0" applyFont="1" applyBorder="1" applyAlignment="1">
      <alignment horizontal="center"/>
    </xf>
    <xf numFmtId="11" fontId="8" fillId="0" borderId="6" xfId="0" applyNumberFormat="1" applyFont="1" applyBorder="1"/>
    <xf numFmtId="0" fontId="7" fillId="0" borderId="7" xfId="0" applyFont="1" applyBorder="1" applyAlignment="1">
      <alignment horizontal="center"/>
    </xf>
    <xf numFmtId="11" fontId="7" fillId="0" borderId="8" xfId="0" applyNumberFormat="1" applyFont="1" applyBorder="1"/>
    <xf numFmtId="0" fontId="11" fillId="0" borderId="0" xfId="0" applyFont="1"/>
    <xf numFmtId="11" fontId="0" fillId="3" borderId="0" xfId="0" applyNumberFormat="1" applyFill="1"/>
    <xf numFmtId="0" fontId="3" fillId="3" borderId="10" xfId="0" applyFont="1" applyFill="1" applyBorder="1" applyAlignment="1">
      <alignment horizontal="center"/>
    </xf>
    <xf numFmtId="0" fontId="4" fillId="3" borderId="0" xfId="0" applyFont="1" applyFill="1"/>
    <xf numFmtId="11" fontId="4" fillId="3" borderId="0" xfId="0" applyNumberFormat="1" applyFont="1" applyFill="1"/>
    <xf numFmtId="11" fontId="9" fillId="3" borderId="0" xfId="0" applyNumberFormat="1" applyFont="1" applyFill="1"/>
    <xf numFmtId="11" fontId="4" fillId="3" borderId="1" xfId="0" applyNumberFormat="1" applyFont="1" applyFill="1" applyBorder="1"/>
    <xf numFmtId="0" fontId="0" fillId="3" borderId="0" xfId="0" applyFill="1"/>
    <xf numFmtId="11" fontId="0" fillId="3" borderId="1" xfId="0" applyNumberFormat="1" applyFill="1" applyBorder="1"/>
    <xf numFmtId="0" fontId="2" fillId="0" borderId="12" xfId="0" applyFont="1" applyBorder="1"/>
    <xf numFmtId="11" fontId="2" fillId="0" borderId="13" xfId="0" applyNumberFormat="1" applyFont="1" applyBorder="1"/>
    <xf numFmtId="0" fontId="2" fillId="0" borderId="14" xfId="0" applyFont="1" applyBorder="1"/>
    <xf numFmtId="2" fontId="2" fillId="0" borderId="15" xfId="0" applyNumberFormat="1" applyFont="1" applyBorder="1"/>
    <xf numFmtId="0" fontId="2" fillId="0" borderId="13" xfId="0" applyFont="1" applyBorder="1"/>
    <xf numFmtId="0" fontId="2" fillId="0" borderId="16" xfId="0" applyFont="1" applyBorder="1"/>
    <xf numFmtId="2" fontId="2" fillId="0" borderId="17" xfId="1" applyNumberFormat="1" applyFont="1" applyBorder="1"/>
    <xf numFmtId="0" fontId="2" fillId="0" borderId="17" xfId="0" applyFont="1" applyBorder="1"/>
    <xf numFmtId="0" fontId="2" fillId="0" borderId="15" xfId="0" applyFont="1" applyBorder="1"/>
    <xf numFmtId="11" fontId="12" fillId="0" borderId="0" xfId="0" applyNumberFormat="1" applyFont="1"/>
    <xf numFmtId="0" fontId="1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2" xfId="0" applyFont="1" applyBorder="1"/>
    <xf numFmtId="0" fontId="10" fillId="0" borderId="6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4" fillId="2" borderId="0" xfId="0" applyFont="1" applyFill="1"/>
    <xf numFmtId="0" fontId="4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7" xfId="0" applyFont="1" applyBorder="1"/>
    <xf numFmtId="2" fontId="2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/>
    <xf numFmtId="0" fontId="4" fillId="3" borderId="0" xfId="0" applyFont="1" applyFill="1" applyAlignment="1">
      <alignment horizontal="right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1" fontId="6" fillId="0" borderId="5" xfId="0" applyNumberFormat="1" applyFont="1" applyBorder="1"/>
    <xf numFmtId="0" fontId="6" fillId="0" borderId="6" xfId="0" applyFont="1" applyBorder="1"/>
    <xf numFmtId="11" fontId="6" fillId="0" borderId="7" xfId="0" applyNumberFormat="1" applyFont="1" applyBorder="1"/>
    <xf numFmtId="0" fontId="6" fillId="0" borderId="8" xfId="0" applyFont="1" applyBorder="1"/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Escrezioni</a:t>
            </a:r>
            <a:r>
              <a:rPr lang="it-IT" baseline="0"/>
              <a:t> urinarie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5.0051410315812353E-2"/>
          <c:y val="7.7061223955191396E-2"/>
          <c:w val="0.92661088039629558"/>
          <c:h val="0.807400464821168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Calc!$V$104</c:f>
              <c:strCache>
                <c:ptCount val="1"/>
                <c:pt idx="0">
                  <c:v>I*m(t)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Calc!$T$105:$T$124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Calc!$V$105:$V$124</c:f>
              <c:numCache>
                <c:formatCode>0.00E+00</c:formatCode>
                <c:ptCount val="20"/>
                <c:pt idx="0">
                  <c:v>4353.9035843713264</c:v>
                </c:pt>
                <c:pt idx="1">
                  <c:v>1760.0886830437275</c:v>
                </c:pt>
                <c:pt idx="2">
                  <c:v>1111.6349577118281</c:v>
                </c:pt>
                <c:pt idx="3">
                  <c:v>824.46259363627246</c:v>
                </c:pt>
                <c:pt idx="4">
                  <c:v>648.4537253318997</c:v>
                </c:pt>
                <c:pt idx="5">
                  <c:v>528.02660491311826</c:v>
                </c:pt>
                <c:pt idx="6">
                  <c:v>435.39035843713265</c:v>
                </c:pt>
                <c:pt idx="7">
                  <c:v>370.54498590394269</c:v>
                </c:pt>
                <c:pt idx="8">
                  <c:v>324.22686266594985</c:v>
                </c:pt>
                <c:pt idx="9">
                  <c:v>287.17236407555555</c:v>
                </c:pt>
                <c:pt idx="10">
                  <c:v>259.38149013275984</c:v>
                </c:pt>
                <c:pt idx="11">
                  <c:v>231.59061618996418</c:v>
                </c:pt>
                <c:pt idx="12">
                  <c:v>213.06336689476703</c:v>
                </c:pt>
                <c:pt idx="13">
                  <c:v>194.53611759956988</c:v>
                </c:pt>
                <c:pt idx="14">
                  <c:v>176.00886830437275</c:v>
                </c:pt>
                <c:pt idx="15">
                  <c:v>166.74524365677419</c:v>
                </c:pt>
                <c:pt idx="16">
                  <c:v>148.21799436157707</c:v>
                </c:pt>
                <c:pt idx="17">
                  <c:v>138.95436971397851</c:v>
                </c:pt>
                <c:pt idx="18">
                  <c:v>129.69074506637992</c:v>
                </c:pt>
                <c:pt idx="19">
                  <c:v>120.42712041878136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E5-49A9-BC98-36D8686761AD}"/>
            </c:ext>
          </c:extLst>
        </c:ser>
        <c:ser>
          <c:idx val="1"/>
          <c:order val="1"/>
          <c:tx>
            <c:strRef>
              <c:f>Calc!$W$104</c:f>
              <c:strCache>
                <c:ptCount val="1"/>
                <c:pt idx="0">
                  <c:v>Misura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>
                  <a:alpha val="97000"/>
                </a:srgbClr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Calc!$T$105:$T$124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Calc!$W$105:$W$124</c:f>
              <c:numCache>
                <c:formatCode>General</c:formatCode>
                <c:ptCount val="20"/>
                <c:pt idx="2">
                  <c:v>1020</c:v>
                </c:pt>
                <c:pt idx="5">
                  <c:v>569.91999999999996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E5-49A9-BC98-36D8686761AD}"/>
            </c:ext>
          </c:extLst>
        </c:ser>
        <c:ser>
          <c:idx val="2"/>
          <c:order val="2"/>
          <c:tx>
            <c:strRef>
              <c:f>Calc!$X$104</c:f>
              <c:strCache>
                <c:ptCount val="1"/>
                <c:pt idx="0">
                  <c:v>Sup</c:v>
                </c:pt>
              </c:strCache>
            </c:strRef>
          </c:tx>
          <c:spPr>
            <a:ln w="15875" cap="rnd">
              <a:solidFill>
                <a:schemeClr val="accent3">
                  <a:alpha val="98000"/>
                </a:schemeClr>
              </a:solidFill>
              <a:round/>
              <a:headEnd type="none" w="med" len="med"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>
                    <a:alpha val="97000"/>
                  </a:srgbClr>
                </a:solidFill>
              </a:ln>
              <a:effectLst/>
            </c:spPr>
          </c:marker>
          <c:xVal>
            <c:numRef>
              <c:f>Calc!$T$105:$T$124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Calc!$X$105:$X$124</c:f>
              <c:numCache>
                <c:formatCode>General</c:formatCode>
                <c:ptCount val="20"/>
                <c:pt idx="2">
                  <c:v>1208.2417834395926</c:v>
                </c:pt>
                <c:pt idx="5">
                  <c:v>675.099173743032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E5-49A9-BC98-36D8686761AD}"/>
            </c:ext>
          </c:extLst>
        </c:ser>
        <c:ser>
          <c:idx val="3"/>
          <c:order val="3"/>
          <c:tx>
            <c:strRef>
              <c:f>Calc!$Y$104</c:f>
              <c:strCache>
                <c:ptCount val="1"/>
                <c:pt idx="0">
                  <c:v>Inf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Calc!$T$105:$T$124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Calc!$Y$105:$Y$124</c:f>
              <c:numCache>
                <c:formatCode>General</c:formatCode>
                <c:ptCount val="20"/>
                <c:pt idx="2">
                  <c:v>861.0859302003405</c:v>
                </c:pt>
                <c:pt idx="5">
                  <c:v>481.12754248997845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E5-49A9-BC98-36D86867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256992"/>
        <c:axId val="653020640"/>
      </c:scatterChart>
      <c:valAx>
        <c:axId val="833256992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3020640"/>
        <c:crosses val="autoZero"/>
        <c:crossBetween val="midCat"/>
      </c:valAx>
      <c:valAx>
        <c:axId val="65302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325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Escrezioni fecali</a:t>
            </a:r>
            <a:endParaRPr lang="it-IT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Calc!$V$104</c:f>
              <c:strCache>
                <c:ptCount val="1"/>
                <c:pt idx="0">
                  <c:v>I*m(t)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Calc!$T$128:$T$147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Calc!$V$128:$V$147</c:f>
              <c:numCache>
                <c:formatCode>0.00E+00</c:formatCode>
                <c:ptCount val="20"/>
                <c:pt idx="0">
                  <c:v>16674.524365677418</c:v>
                </c:pt>
                <c:pt idx="1">
                  <c:v>33349.048731354836</c:v>
                </c:pt>
                <c:pt idx="2">
                  <c:v>15748.161900917565</c:v>
                </c:pt>
                <c:pt idx="3">
                  <c:v>4817.084816751254</c:v>
                </c:pt>
                <c:pt idx="4">
                  <c:v>1296.9074506637994</c:v>
                </c:pt>
                <c:pt idx="5">
                  <c:v>444.65398308473118</c:v>
                </c:pt>
                <c:pt idx="6">
                  <c:v>222.32699154236559</c:v>
                </c:pt>
                <c:pt idx="7">
                  <c:v>157.48161900917563</c:v>
                </c:pt>
                <c:pt idx="8">
                  <c:v>120.42712041878136</c:v>
                </c:pt>
                <c:pt idx="9">
                  <c:v>101.89987112358423</c:v>
                </c:pt>
                <c:pt idx="10">
                  <c:v>92.636246475985672</c:v>
                </c:pt>
                <c:pt idx="11">
                  <c:v>82.446259363627235</c:v>
                </c:pt>
                <c:pt idx="12">
                  <c:v>74.108997180788535</c:v>
                </c:pt>
                <c:pt idx="13">
                  <c:v>66.698097462709683</c:v>
                </c:pt>
                <c:pt idx="14">
                  <c:v>61.13992267415054</c:v>
                </c:pt>
                <c:pt idx="15">
                  <c:v>55.581747885591398</c:v>
                </c:pt>
                <c:pt idx="16">
                  <c:v>51.876298026551972</c:v>
                </c:pt>
                <c:pt idx="17">
                  <c:v>48.170848167512546</c:v>
                </c:pt>
                <c:pt idx="18">
                  <c:v>44.465398308473119</c:v>
                </c:pt>
                <c:pt idx="19">
                  <c:v>41.686310914193548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EC-4161-ACE8-46811B993B00}"/>
            </c:ext>
          </c:extLst>
        </c:ser>
        <c:ser>
          <c:idx val="1"/>
          <c:order val="1"/>
          <c:tx>
            <c:strRef>
              <c:f>Calc!$W$104</c:f>
              <c:strCache>
                <c:ptCount val="1"/>
                <c:pt idx="0">
                  <c:v>Misura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Calc!$T$128:$T$147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Calc!$W$128:$W$147</c:f>
              <c:numCache>
                <c:formatCode>General</c:formatCode>
                <c:ptCount val="20"/>
                <c:pt idx="5">
                  <c:v>555</c:v>
                </c:pt>
                <c:pt idx="12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EC-4161-ACE8-46811B993B00}"/>
            </c:ext>
          </c:extLst>
        </c:ser>
        <c:ser>
          <c:idx val="2"/>
          <c:order val="2"/>
          <c:tx>
            <c:strRef>
              <c:f>Calc!$X$104</c:f>
              <c:strCache>
                <c:ptCount val="1"/>
                <c:pt idx="0">
                  <c:v>Sup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ash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Calc!$T$128:$T$147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Calc!$X$128:$X$147</c:f>
              <c:numCache>
                <c:formatCode>General</c:formatCode>
                <c:ptCount val="20"/>
                <c:pt idx="5">
                  <c:v>1684.4094893289043</c:v>
                </c:pt>
                <c:pt idx="12">
                  <c:v>273.14748475603852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EC-4161-ACE8-46811B993B00}"/>
            </c:ext>
          </c:extLst>
        </c:ser>
        <c:ser>
          <c:idx val="3"/>
          <c:order val="3"/>
          <c:tx>
            <c:strRef>
              <c:f>Calc!$Y$104</c:f>
              <c:strCache>
                <c:ptCount val="1"/>
                <c:pt idx="0">
                  <c:v>Inf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dash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Calc!$T$128:$T$147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Calc!$Y$128:$Y$147</c:f>
              <c:numCache>
                <c:formatCode>General</c:formatCode>
                <c:ptCount val="20"/>
                <c:pt idx="5">
                  <c:v>182.86824074039271</c:v>
                </c:pt>
                <c:pt idx="12">
                  <c:v>29.65430930925287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EC-4161-ACE8-46811B993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256992"/>
        <c:axId val="653020640"/>
      </c:scatterChart>
      <c:valAx>
        <c:axId val="833256992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3020640"/>
        <c:crosses val="autoZero"/>
        <c:crossBetween val="midCat"/>
      </c:valAx>
      <c:valAx>
        <c:axId val="65302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325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Escrezioni fecali</a:t>
            </a:r>
            <a:r>
              <a:rPr lang="it-IT" sz="1400"/>
              <a:t> (zoom dopo d=5)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Calc!$V$104</c:f>
              <c:strCache>
                <c:ptCount val="1"/>
                <c:pt idx="0">
                  <c:v>I*m(t)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Calc!$T$128:$T$147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Calc!$V$128:$V$147</c:f>
              <c:numCache>
                <c:formatCode>0.00E+00</c:formatCode>
                <c:ptCount val="20"/>
                <c:pt idx="0">
                  <c:v>16674.524365677418</c:v>
                </c:pt>
                <c:pt idx="1">
                  <c:v>33349.048731354836</c:v>
                </c:pt>
                <c:pt idx="2">
                  <c:v>15748.161900917565</c:v>
                </c:pt>
                <c:pt idx="3">
                  <c:v>4817.084816751254</c:v>
                </c:pt>
                <c:pt idx="4">
                  <c:v>1296.9074506637994</c:v>
                </c:pt>
                <c:pt idx="5">
                  <c:v>444.65398308473118</c:v>
                </c:pt>
                <c:pt idx="6">
                  <c:v>222.32699154236559</c:v>
                </c:pt>
                <c:pt idx="7">
                  <c:v>157.48161900917563</c:v>
                </c:pt>
                <c:pt idx="8">
                  <c:v>120.42712041878136</c:v>
                </c:pt>
                <c:pt idx="9">
                  <c:v>101.89987112358423</c:v>
                </c:pt>
                <c:pt idx="10">
                  <c:v>92.636246475985672</c:v>
                </c:pt>
                <c:pt idx="11">
                  <c:v>82.446259363627235</c:v>
                </c:pt>
                <c:pt idx="12">
                  <c:v>74.108997180788535</c:v>
                </c:pt>
                <c:pt idx="13">
                  <c:v>66.698097462709683</c:v>
                </c:pt>
                <c:pt idx="14">
                  <c:v>61.13992267415054</c:v>
                </c:pt>
                <c:pt idx="15">
                  <c:v>55.581747885591398</c:v>
                </c:pt>
                <c:pt idx="16">
                  <c:v>51.876298026551972</c:v>
                </c:pt>
                <c:pt idx="17">
                  <c:v>48.170848167512546</c:v>
                </c:pt>
                <c:pt idx="18">
                  <c:v>44.465398308473119</c:v>
                </c:pt>
                <c:pt idx="19">
                  <c:v>41.686310914193548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A-4784-A142-3AAC2CD63FF0}"/>
            </c:ext>
          </c:extLst>
        </c:ser>
        <c:ser>
          <c:idx val="1"/>
          <c:order val="1"/>
          <c:tx>
            <c:strRef>
              <c:f>Calc!$W$104</c:f>
              <c:strCache>
                <c:ptCount val="1"/>
                <c:pt idx="0">
                  <c:v>Misura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Calc!$T$128:$T$147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Calc!$W$128:$W$147</c:f>
              <c:numCache>
                <c:formatCode>General</c:formatCode>
                <c:ptCount val="20"/>
                <c:pt idx="5">
                  <c:v>555</c:v>
                </c:pt>
                <c:pt idx="12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CA-4784-A142-3AAC2CD63FF0}"/>
            </c:ext>
          </c:extLst>
        </c:ser>
        <c:ser>
          <c:idx val="2"/>
          <c:order val="2"/>
          <c:tx>
            <c:strRef>
              <c:f>Calc!$X$104</c:f>
              <c:strCache>
                <c:ptCount val="1"/>
                <c:pt idx="0">
                  <c:v>Sup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ash"/>
            <c:size val="12"/>
            <c:spPr>
              <a:solidFill>
                <a:srgbClr val="C00000">
                  <a:alpha val="99000"/>
                </a:srgbClr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Calc!$T$128:$T$147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Calc!$X$128:$X$147</c:f>
              <c:numCache>
                <c:formatCode>General</c:formatCode>
                <c:ptCount val="20"/>
                <c:pt idx="5">
                  <c:v>1684.4094893289043</c:v>
                </c:pt>
                <c:pt idx="12">
                  <c:v>273.14748475603852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CA-4784-A142-3AAC2CD63FF0}"/>
            </c:ext>
          </c:extLst>
        </c:ser>
        <c:ser>
          <c:idx val="3"/>
          <c:order val="3"/>
          <c:tx>
            <c:strRef>
              <c:f>Calc!$Y$104</c:f>
              <c:strCache>
                <c:ptCount val="1"/>
                <c:pt idx="0">
                  <c:v>Inf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Calc!$T$128:$T$147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Calc!$Y$128:$Y$147</c:f>
              <c:numCache>
                <c:formatCode>General</c:formatCode>
                <c:ptCount val="20"/>
                <c:pt idx="5">
                  <c:v>182.86824074039271</c:v>
                </c:pt>
                <c:pt idx="12">
                  <c:v>29.65430930925287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CA-4784-A142-3AAC2CD63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256992"/>
        <c:axId val="653020640"/>
      </c:scatterChart>
      <c:valAx>
        <c:axId val="833256992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3020640"/>
        <c:crosses val="autoZero"/>
        <c:crossBetween val="midCat"/>
      </c:valAx>
      <c:valAx>
        <c:axId val="653020640"/>
        <c:scaling>
          <c:orientation val="minMax"/>
          <c:max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325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microsoft.com/office/2007/relationships/hdphoto" Target="../media/hdphoto2.wdp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31377</xdr:colOff>
      <xdr:row>102</xdr:row>
      <xdr:rowOff>39092</xdr:rowOff>
    </xdr:from>
    <xdr:to>
      <xdr:col>18</xdr:col>
      <xdr:colOff>0</xdr:colOff>
      <xdr:row>123</xdr:row>
      <xdr:rowOff>146669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1711ABD-D155-40ED-94F1-84C86C2C5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125</xdr:row>
      <xdr:rowOff>0</xdr:rowOff>
    </xdr:from>
    <xdr:to>
      <xdr:col>9</xdr:col>
      <xdr:colOff>145676</xdr:colOff>
      <xdr:row>146</xdr:row>
      <xdr:rowOff>97971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5E30352-F45A-4DE6-B93C-694247D2B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272975</xdr:colOff>
      <xdr:row>125</xdr:row>
      <xdr:rowOff>10245</xdr:rowOff>
    </xdr:from>
    <xdr:to>
      <xdr:col>17</xdr:col>
      <xdr:colOff>593912</xdr:colOff>
      <xdr:row>146</xdr:row>
      <xdr:rowOff>102453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6520542-6CAC-48A2-ADAD-8384BA8C5E43}"/>
            </a:ext>
            <a:ext uri="{147F2762-F138-4A5C-976F-8EAC2B608ADB}">
              <a16:predDERef xmlns:a16="http://schemas.microsoft.com/office/drawing/2014/main" pred="{BAB2BE8E-46B2-4752-944B-6D98AE8EE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375670</xdr:colOff>
      <xdr:row>20</xdr:row>
      <xdr:rowOff>91097</xdr:rowOff>
    </xdr:from>
    <xdr:ext cx="2950511" cy="2659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sellaDiTesto 4">
              <a:extLst>
                <a:ext uri="{FF2B5EF4-FFF2-40B4-BE49-F238E27FC236}">
                  <a16:creationId xmlns:a16="http://schemas.microsoft.com/office/drawing/2014/main" id="{0701F709-913F-B527-7502-585B87A47E43}"/>
                </a:ext>
              </a:extLst>
            </xdr:cNvPr>
            <xdr:cNvSpPr txBox="1"/>
          </xdr:nvSpPr>
          <xdr:spPr>
            <a:xfrm>
              <a:off x="4622426" y="4049780"/>
              <a:ext cx="2950511" cy="26597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600" b="0" i="1">
                        <a:latin typeface="Cambria Math" panose="02040503050406030204" pitchFamily="18" charset="0"/>
                      </a:rPr>
                      <m:t>𝑀𝑐</m:t>
                    </m:r>
                    <m:r>
                      <a:rPr lang="en-GB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600" b="0" i="1">
                        <a:latin typeface="Cambria Math" panose="02040503050406030204" pitchFamily="18" charset="0"/>
                      </a:rPr>
                      <m:t>𝑚</m:t>
                    </m:r>
                    <m:d>
                      <m:dPr>
                        <m:ctrlPr>
                          <a:rPr lang="en-GB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6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GB" sz="16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GB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6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GB" sz="1600" b="0" i="1">
                            <a:latin typeface="Cambria Math" panose="02040503050406030204" pitchFamily="18" charset="0"/>
                          </a:rPr>
                          <m:t>𝑟𝑖𝑓</m:t>
                        </m:r>
                      </m:sub>
                    </m:sSub>
                    <m:r>
                      <a:rPr lang="en-GB" sz="16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GB" sz="1600" b="0" i="1">
                        <a:latin typeface="Cambria Math" panose="02040503050406030204" pitchFamily="18" charset="0"/>
                      </a:rPr>
                      <m:t>𝑒</m:t>
                    </m:r>
                    <m:r>
                      <a:rPr lang="en-GB" sz="1600" b="0" i="1">
                        <a:latin typeface="Cambria Math" panose="02040503050406030204" pitchFamily="18" charset="0"/>
                      </a:rPr>
                      <m:t>(50)</m:t>
                    </m:r>
                  </m:oMath>
                </m:oMathPara>
              </a14:m>
              <a:endParaRPr lang="en-GB" sz="1600"/>
            </a:p>
          </xdr:txBody>
        </xdr:sp>
      </mc:Choice>
      <mc:Fallback xmlns="">
        <xdr:sp macro="" textlink="">
          <xdr:nvSpPr>
            <xdr:cNvPr id="5" name="CasellaDiTesto 4">
              <a:extLst>
                <a:ext uri="{FF2B5EF4-FFF2-40B4-BE49-F238E27FC236}">
                  <a16:creationId xmlns:a16="http://schemas.microsoft.com/office/drawing/2014/main" id="{0701F709-913F-B527-7502-585B87A47E43}"/>
                </a:ext>
              </a:extLst>
            </xdr:cNvPr>
            <xdr:cNvSpPr txBox="1"/>
          </xdr:nvSpPr>
          <xdr:spPr>
            <a:xfrm>
              <a:off x="4622426" y="4049780"/>
              <a:ext cx="2950511" cy="26597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600" b="0" i="0">
                  <a:latin typeface="Cambria Math" panose="02040503050406030204" pitchFamily="18" charset="0"/>
                </a:rPr>
                <a:t>𝑀𝑐=𝑚(𝑇)∗𝐸_𝑟𝑖𝑓/𝑒(50)</a:t>
              </a:r>
              <a:endParaRPr lang="en-GB" sz="1600"/>
            </a:p>
          </xdr:txBody>
        </xdr:sp>
      </mc:Fallback>
    </mc:AlternateContent>
    <xdr:clientData/>
  </xdr:oneCellAnchor>
  <xdr:twoCellAnchor>
    <xdr:from>
      <xdr:col>8</xdr:col>
      <xdr:colOff>87880</xdr:colOff>
      <xdr:row>81</xdr:row>
      <xdr:rowOff>84538</xdr:rowOff>
    </xdr:from>
    <xdr:to>
      <xdr:col>12</xdr:col>
      <xdr:colOff>390293</xdr:colOff>
      <xdr:row>87</xdr:row>
      <xdr:rowOff>130097</xdr:rowOff>
    </xdr:to>
    <xdr:grpSp>
      <xdr:nvGrpSpPr>
        <xdr:cNvPr id="12" name="Gruppo 11">
          <a:extLst>
            <a:ext uri="{FF2B5EF4-FFF2-40B4-BE49-F238E27FC236}">
              <a16:creationId xmlns:a16="http://schemas.microsoft.com/office/drawing/2014/main" id="{70182A18-67FE-7714-9C90-2D1F0FF39162}"/>
            </a:ext>
          </a:extLst>
        </xdr:cNvPr>
        <xdr:cNvGrpSpPr/>
      </xdr:nvGrpSpPr>
      <xdr:grpSpPr>
        <a:xfrm>
          <a:off x="5640846" y="15368331"/>
          <a:ext cx="2929999" cy="1149145"/>
          <a:chOff x="5958119" y="15337930"/>
          <a:chExt cx="3421205" cy="1347629"/>
        </a:xfrm>
      </xdr:grpSpPr>
      <xdr:grpSp>
        <xdr:nvGrpSpPr>
          <xdr:cNvPr id="10" name="Gruppo 9">
            <a:extLst>
              <a:ext uri="{FF2B5EF4-FFF2-40B4-BE49-F238E27FC236}">
                <a16:creationId xmlns:a16="http://schemas.microsoft.com/office/drawing/2014/main" id="{6B97D828-97CB-413F-6597-7F0DFF8FFEEA}"/>
              </a:ext>
            </a:extLst>
          </xdr:cNvPr>
          <xdr:cNvGrpSpPr/>
        </xdr:nvGrpSpPr>
        <xdr:grpSpPr>
          <a:xfrm>
            <a:off x="5958119" y="15337930"/>
            <a:ext cx="3421205" cy="1347629"/>
            <a:chOff x="6568109" y="15678978"/>
            <a:chExt cx="3873215" cy="1365208"/>
          </a:xfrm>
        </xdr:grpSpPr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47BDBF56-6BDB-41CE-3DD3-46E23483D3A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grayscl/>
              <a:extLst>
                <a:ext uri="{BEBA8EAE-BF5A-486C-A8C5-ECC9F3942E4B}">
                  <a14:imgProps xmlns:a14="http://schemas.microsoft.com/office/drawing/2010/main">
                    <a14:imgLayer r:embed="rId5">
                      <a14:imgEffect>
                        <a14:saturation sat="400000"/>
                      </a14:imgEffect>
                    </a14:imgLayer>
                  </a14:imgProps>
                </a:ext>
              </a:extLst>
            </a:blip>
            <a:srcRect t="9060"/>
            <a:stretch/>
          </xdr:blipFill>
          <xdr:spPr>
            <a:xfrm>
              <a:off x="6585078" y="16446420"/>
              <a:ext cx="3844636" cy="597766"/>
            </a:xfrm>
            <a:prstGeom prst="rect">
              <a:avLst/>
            </a:prstGeom>
          </xdr:spPr>
        </xdr:pic>
        <xdr:pic>
          <xdr:nvPicPr>
            <xdr:cNvPr id="9" name="Immagine 8">
              <a:extLst>
                <a:ext uri="{FF2B5EF4-FFF2-40B4-BE49-F238E27FC236}">
                  <a16:creationId xmlns:a16="http://schemas.microsoft.com/office/drawing/2014/main" id="{C6641EE3-54AC-1407-B2A1-369195248D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grayscl/>
              <a:extLst>
                <a:ext uri="{BEBA8EAE-BF5A-486C-A8C5-ECC9F3942E4B}">
                  <a14:imgProps xmlns:a14="http://schemas.microsoft.com/office/drawing/2010/main">
                    <a14:imgLayer r:embed="rId7">
                      <a14:imgEffect>
                        <a14:saturation sat="4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6568109" y="15678978"/>
              <a:ext cx="3873215" cy="781159"/>
            </a:xfrm>
            <a:prstGeom prst="rect">
              <a:avLst/>
            </a:prstGeom>
          </xdr:spPr>
        </xdr:pic>
      </xdr:grpSp>
      <xdr:sp macro="" textlink="">
        <xdr:nvSpPr>
          <xdr:cNvPr id="11" name="Ovale 10">
            <a:extLst>
              <a:ext uri="{FF2B5EF4-FFF2-40B4-BE49-F238E27FC236}">
                <a16:creationId xmlns:a16="http://schemas.microsoft.com/office/drawing/2014/main" id="{A0684601-EC57-8694-DA77-A796B71FD19F}"/>
              </a:ext>
            </a:extLst>
          </xdr:cNvPr>
          <xdr:cNvSpPr/>
        </xdr:nvSpPr>
        <xdr:spPr>
          <a:xfrm>
            <a:off x="8388034" y="16058029"/>
            <a:ext cx="249115" cy="527539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13</xdr:col>
      <xdr:colOff>56029</xdr:colOff>
      <xdr:row>72</xdr:row>
      <xdr:rowOff>67236</xdr:rowOff>
    </xdr:from>
    <xdr:to>
      <xdr:col>17</xdr:col>
      <xdr:colOff>201706</xdr:colOff>
      <xdr:row>78</xdr:row>
      <xdr:rowOff>40843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79C7F357-D7A1-6515-F443-12F59609F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16470" y="13615148"/>
          <a:ext cx="2566147" cy="1116607"/>
        </a:xfrm>
        <a:prstGeom prst="rect">
          <a:avLst/>
        </a:prstGeom>
      </xdr:spPr>
    </xdr:pic>
    <xdr:clientData/>
  </xdr:twoCellAnchor>
  <xdr:twoCellAnchor editAs="oneCell">
    <xdr:from>
      <xdr:col>8</xdr:col>
      <xdr:colOff>102493</xdr:colOff>
      <xdr:row>88</xdr:row>
      <xdr:rowOff>28426</xdr:rowOff>
    </xdr:from>
    <xdr:to>
      <xdr:col>12</xdr:col>
      <xdr:colOff>549088</xdr:colOff>
      <xdr:row>92</xdr:row>
      <xdr:rowOff>71290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F6D3381C-7F7C-9134-2742-399F091A6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59517" y="16634450"/>
          <a:ext cx="3067132" cy="786279"/>
        </a:xfrm>
        <a:prstGeom prst="rect">
          <a:avLst/>
        </a:prstGeom>
      </xdr:spPr>
    </xdr:pic>
    <xdr:clientData/>
  </xdr:twoCellAnchor>
  <xdr:twoCellAnchor>
    <xdr:from>
      <xdr:col>6</xdr:col>
      <xdr:colOff>53788</xdr:colOff>
      <xdr:row>23</xdr:row>
      <xdr:rowOff>89647</xdr:rowOff>
    </xdr:from>
    <xdr:to>
      <xdr:col>6</xdr:col>
      <xdr:colOff>582706</xdr:colOff>
      <xdr:row>23</xdr:row>
      <xdr:rowOff>98612</xdr:rowOff>
    </xdr:to>
    <xdr:cxnSp macro="">
      <xdr:nvCxnSpPr>
        <xdr:cNvPr id="16" name="Connettore 2 15">
          <a:extLst>
            <a:ext uri="{FF2B5EF4-FFF2-40B4-BE49-F238E27FC236}">
              <a16:creationId xmlns:a16="http://schemas.microsoft.com/office/drawing/2014/main" id="{F620D9C3-D9C4-E52F-D2EB-5B74E8C5025B}"/>
            </a:ext>
          </a:extLst>
        </xdr:cNvPr>
        <xdr:cNvCxnSpPr/>
      </xdr:nvCxnSpPr>
      <xdr:spPr>
        <a:xfrm flipV="1">
          <a:off x="4294094" y="4688541"/>
          <a:ext cx="528918" cy="896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35859</xdr:colOff>
      <xdr:row>24</xdr:row>
      <xdr:rowOff>98611</xdr:rowOff>
    </xdr:from>
    <xdr:to>
      <xdr:col>6</xdr:col>
      <xdr:colOff>609600</xdr:colOff>
      <xdr:row>25</xdr:row>
      <xdr:rowOff>89647</xdr:rowOff>
    </xdr:to>
    <xdr:cxnSp macro="">
      <xdr:nvCxnSpPr>
        <xdr:cNvPr id="19" name="Connettore 2 18">
          <a:extLst>
            <a:ext uri="{FF2B5EF4-FFF2-40B4-BE49-F238E27FC236}">
              <a16:creationId xmlns:a16="http://schemas.microsoft.com/office/drawing/2014/main" id="{C0F1A519-8384-4713-8939-231BAAE33AC0}"/>
            </a:ext>
          </a:extLst>
        </xdr:cNvPr>
        <xdr:cNvCxnSpPr/>
      </xdr:nvCxnSpPr>
      <xdr:spPr>
        <a:xfrm>
          <a:off x="4276165" y="4715435"/>
          <a:ext cx="573741" cy="17033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44824</xdr:colOff>
      <xdr:row>32</xdr:row>
      <xdr:rowOff>80682</xdr:rowOff>
    </xdr:from>
    <xdr:to>
      <xdr:col>6</xdr:col>
      <xdr:colOff>618565</xdr:colOff>
      <xdr:row>33</xdr:row>
      <xdr:rowOff>71718</xdr:rowOff>
    </xdr:to>
    <xdr:cxnSp macro="">
      <xdr:nvCxnSpPr>
        <xdr:cNvPr id="22" name="Connettore 2 21">
          <a:extLst>
            <a:ext uri="{FF2B5EF4-FFF2-40B4-BE49-F238E27FC236}">
              <a16:creationId xmlns:a16="http://schemas.microsoft.com/office/drawing/2014/main" id="{1FD6E0B4-0B5B-49EB-85A4-C96C4FB30556}"/>
            </a:ext>
          </a:extLst>
        </xdr:cNvPr>
        <xdr:cNvCxnSpPr/>
      </xdr:nvCxnSpPr>
      <xdr:spPr>
        <a:xfrm>
          <a:off x="4285130" y="6212541"/>
          <a:ext cx="573741" cy="17033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511097</xdr:colOff>
      <xdr:row>44</xdr:row>
      <xdr:rowOff>102219</xdr:rowOff>
    </xdr:from>
    <xdr:to>
      <xdr:col>3</xdr:col>
      <xdr:colOff>528918</xdr:colOff>
      <xdr:row>44</xdr:row>
      <xdr:rowOff>111512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8E7BC4E6-17E0-4509-BB65-AD6EAC9B4667}"/>
            </a:ext>
          </a:extLst>
        </xdr:cNvPr>
        <xdr:cNvCxnSpPr/>
      </xdr:nvCxnSpPr>
      <xdr:spPr>
        <a:xfrm>
          <a:off x="2044390" y="8605024"/>
          <a:ext cx="724065" cy="929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46463</xdr:colOff>
      <xdr:row>66</xdr:row>
      <xdr:rowOff>92927</xdr:rowOff>
    </xdr:from>
    <xdr:to>
      <xdr:col>3</xdr:col>
      <xdr:colOff>594731</xdr:colOff>
      <xdr:row>66</xdr:row>
      <xdr:rowOff>111512</xdr:rowOff>
    </xdr:to>
    <xdr:cxnSp macro="">
      <xdr:nvCxnSpPr>
        <xdr:cNvPr id="17" name="Connettore 2 16">
          <a:extLst>
            <a:ext uri="{FF2B5EF4-FFF2-40B4-BE49-F238E27FC236}">
              <a16:creationId xmlns:a16="http://schemas.microsoft.com/office/drawing/2014/main" id="{3C62985A-4F39-4D86-B15F-D5DC9687162A}"/>
            </a:ext>
          </a:extLst>
        </xdr:cNvPr>
        <xdr:cNvCxnSpPr/>
      </xdr:nvCxnSpPr>
      <xdr:spPr>
        <a:xfrm>
          <a:off x="2286000" y="12777439"/>
          <a:ext cx="548268" cy="185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102219</xdr:colOff>
      <xdr:row>92</xdr:row>
      <xdr:rowOff>83633</xdr:rowOff>
    </xdr:from>
    <xdr:to>
      <xdr:col>6</xdr:col>
      <xdr:colOff>297366</xdr:colOff>
      <xdr:row>93</xdr:row>
      <xdr:rowOff>102216</xdr:rowOff>
    </xdr:to>
    <xdr:cxnSp macro="">
      <xdr:nvCxnSpPr>
        <xdr:cNvPr id="23" name="Connettore a gomito 22">
          <a:extLst>
            <a:ext uri="{FF2B5EF4-FFF2-40B4-BE49-F238E27FC236}">
              <a16:creationId xmlns:a16="http://schemas.microsoft.com/office/drawing/2014/main" id="{C4544988-8FE6-3455-BFD2-A6B733801436}"/>
            </a:ext>
          </a:extLst>
        </xdr:cNvPr>
        <xdr:cNvCxnSpPr/>
      </xdr:nvCxnSpPr>
      <xdr:spPr>
        <a:xfrm rot="10800000" flipV="1">
          <a:off x="2341756" y="17433072"/>
          <a:ext cx="2202366" cy="204437"/>
        </a:xfrm>
        <a:prstGeom prst="bentConnector3">
          <a:avLst>
            <a:gd name="adj1" fmla="val 211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464634</xdr:colOff>
      <xdr:row>87</xdr:row>
      <xdr:rowOff>120805</xdr:rowOff>
    </xdr:from>
    <xdr:to>
      <xdr:col>8</xdr:col>
      <xdr:colOff>102493</xdr:colOff>
      <xdr:row>90</xdr:row>
      <xdr:rowOff>49858</xdr:rowOff>
    </xdr:to>
    <xdr:cxnSp macro="">
      <xdr:nvCxnSpPr>
        <xdr:cNvPr id="27" name="Connettore 2 26">
          <a:extLst>
            <a:ext uri="{FF2B5EF4-FFF2-40B4-BE49-F238E27FC236}">
              <a16:creationId xmlns:a16="http://schemas.microsoft.com/office/drawing/2014/main" id="{5CFFDFEE-5C61-47C3-AB5A-6F6B7AC6A9F0}"/>
            </a:ext>
          </a:extLst>
        </xdr:cNvPr>
        <xdr:cNvCxnSpPr>
          <a:endCxn id="14" idx="1"/>
        </xdr:cNvCxnSpPr>
      </xdr:nvCxnSpPr>
      <xdr:spPr>
        <a:xfrm>
          <a:off x="4711390" y="16540976"/>
          <a:ext cx="948127" cy="48661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501805</xdr:colOff>
      <xdr:row>82</xdr:row>
      <xdr:rowOff>92927</xdr:rowOff>
    </xdr:from>
    <xdr:to>
      <xdr:col>11</xdr:col>
      <xdr:colOff>65049</xdr:colOff>
      <xdr:row>85</xdr:row>
      <xdr:rowOff>46464</xdr:rowOff>
    </xdr:to>
    <xdr:cxnSp macro="">
      <xdr:nvCxnSpPr>
        <xdr:cNvPr id="32" name="Connettore 2 31">
          <a:extLst>
            <a:ext uri="{FF2B5EF4-FFF2-40B4-BE49-F238E27FC236}">
              <a16:creationId xmlns:a16="http://schemas.microsoft.com/office/drawing/2014/main" id="{0F7660AC-5CF6-4B55-8C4C-6A504D76E32D}"/>
            </a:ext>
          </a:extLst>
        </xdr:cNvPr>
        <xdr:cNvCxnSpPr/>
      </xdr:nvCxnSpPr>
      <xdr:spPr>
        <a:xfrm>
          <a:off x="3354659" y="15583829"/>
          <a:ext cx="4274634" cy="51109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511097</xdr:colOff>
      <xdr:row>97</xdr:row>
      <xdr:rowOff>102220</xdr:rowOff>
    </xdr:from>
    <xdr:to>
      <xdr:col>3</xdr:col>
      <xdr:colOff>604024</xdr:colOff>
      <xdr:row>97</xdr:row>
      <xdr:rowOff>102220</xdr:rowOff>
    </xdr:to>
    <xdr:cxnSp macro="">
      <xdr:nvCxnSpPr>
        <xdr:cNvPr id="36" name="Connettore 2 35">
          <a:extLst>
            <a:ext uri="{FF2B5EF4-FFF2-40B4-BE49-F238E27FC236}">
              <a16:creationId xmlns:a16="http://schemas.microsoft.com/office/drawing/2014/main" id="{A95B6499-9AE1-48D5-B547-46F0B92C20DA}"/>
            </a:ext>
          </a:extLst>
        </xdr:cNvPr>
        <xdr:cNvCxnSpPr/>
      </xdr:nvCxnSpPr>
      <xdr:spPr>
        <a:xfrm>
          <a:off x="2044390" y="18380927"/>
          <a:ext cx="79917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18585</xdr:colOff>
      <xdr:row>101</xdr:row>
      <xdr:rowOff>111513</xdr:rowOff>
    </xdr:from>
    <xdr:to>
      <xdr:col>4</xdr:col>
      <xdr:colOff>0</xdr:colOff>
      <xdr:row>101</xdr:row>
      <xdr:rowOff>111513</xdr:rowOff>
    </xdr:to>
    <xdr:cxnSp macro="">
      <xdr:nvCxnSpPr>
        <xdr:cNvPr id="39" name="Connettore 2 38">
          <a:extLst>
            <a:ext uri="{FF2B5EF4-FFF2-40B4-BE49-F238E27FC236}">
              <a16:creationId xmlns:a16="http://schemas.microsoft.com/office/drawing/2014/main" id="{E45D590C-D98A-48F9-A711-2E0571634928}"/>
            </a:ext>
          </a:extLst>
        </xdr:cNvPr>
        <xdr:cNvCxnSpPr/>
      </xdr:nvCxnSpPr>
      <xdr:spPr>
        <a:xfrm>
          <a:off x="2258122" y="19133635"/>
          <a:ext cx="594732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55756</xdr:colOff>
      <xdr:row>20</xdr:row>
      <xdr:rowOff>232317</xdr:rowOff>
    </xdr:from>
    <xdr:to>
      <xdr:col>7</xdr:col>
      <xdr:colOff>9292</xdr:colOff>
      <xdr:row>21</xdr:row>
      <xdr:rowOff>167268</xdr:rowOff>
    </xdr:to>
    <xdr:cxnSp macro="">
      <xdr:nvCxnSpPr>
        <xdr:cNvPr id="42" name="Connettore 2 41">
          <a:extLst>
            <a:ext uri="{FF2B5EF4-FFF2-40B4-BE49-F238E27FC236}">
              <a16:creationId xmlns:a16="http://schemas.microsoft.com/office/drawing/2014/main" id="{5446F8BE-B3F0-4C2A-BA97-5942A8A8FEE7}"/>
            </a:ext>
          </a:extLst>
        </xdr:cNvPr>
        <xdr:cNvCxnSpPr/>
      </xdr:nvCxnSpPr>
      <xdr:spPr>
        <a:xfrm flipV="1">
          <a:off x="4302512" y="4191000"/>
          <a:ext cx="585439" cy="3159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F05C-95F7-45B4-B193-2EB74E4DBB5A}">
  <dimension ref="A2:Y158"/>
  <sheetViews>
    <sheetView tabSelected="1" topLeftCell="A88" zoomScale="87" zoomScaleNormal="85" workbookViewId="0">
      <selection activeCell="N100" sqref="N100"/>
    </sheetView>
  </sheetViews>
  <sheetFormatPr defaultRowHeight="14.4" x14ac:dyDescent="0.3"/>
  <cols>
    <col min="1" max="1" width="9.33203125" style="32" customWidth="1"/>
    <col min="2" max="2" width="13" customWidth="1"/>
    <col min="3" max="3" width="10.33203125" customWidth="1"/>
    <col min="4" max="4" width="8.88671875" customWidth="1"/>
    <col min="5" max="5" width="10.44140625" customWidth="1"/>
    <col min="6" max="6" width="9.88671875" customWidth="1"/>
    <col min="7" max="7" width="9.21875" bestFit="1" customWidth="1"/>
    <col min="8" max="8" width="9.88671875" customWidth="1"/>
    <col min="9" max="9" width="9.6640625" bestFit="1" customWidth="1"/>
    <col min="11" max="11" width="10.6640625" customWidth="1"/>
    <col min="12" max="12" width="9" bestFit="1" customWidth="1"/>
    <col min="20" max="20" width="9" bestFit="1" customWidth="1"/>
    <col min="21" max="21" width="9.109375" bestFit="1" customWidth="1"/>
    <col min="22" max="22" width="9.5546875" bestFit="1" customWidth="1"/>
    <col min="23" max="23" width="9" bestFit="1" customWidth="1"/>
    <col min="24" max="24" width="14" customWidth="1"/>
    <col min="25" max="25" width="9" bestFit="1" customWidth="1"/>
  </cols>
  <sheetData>
    <row r="2" spans="1:22" s="105" customFormat="1" ht="30.6" customHeight="1" x14ac:dyDescent="0.3">
      <c r="A2" s="104" t="s">
        <v>101</v>
      </c>
      <c r="S2" s="125" t="s">
        <v>133</v>
      </c>
      <c r="T2" s="125"/>
      <c r="U2" s="125"/>
      <c r="V2" s="125"/>
    </row>
    <row r="3" spans="1:22" s="105" customFormat="1" ht="14.4" customHeight="1" x14ac:dyDescent="0.3">
      <c r="A3" s="104"/>
    </row>
    <row r="4" spans="1:22" s="3" customFormat="1" ht="7.2" customHeight="1" x14ac:dyDescent="0.3">
      <c r="A4" s="101"/>
    </row>
    <row r="6" spans="1:22" x14ac:dyDescent="0.3">
      <c r="A6" s="32" t="s">
        <v>100</v>
      </c>
      <c r="B6" s="126" t="s">
        <v>1</v>
      </c>
      <c r="C6" s="126"/>
      <c r="D6" s="126"/>
      <c r="E6" s="126"/>
      <c r="F6" s="126"/>
      <c r="G6" s="126"/>
      <c r="H6" s="126"/>
      <c r="L6" s="15" t="s">
        <v>104</v>
      </c>
    </row>
    <row r="7" spans="1:22" x14ac:dyDescent="0.3">
      <c r="B7" s="127" t="s">
        <v>2</v>
      </c>
      <c r="C7" s="128"/>
      <c r="D7" s="128"/>
      <c r="E7" s="128"/>
      <c r="F7" s="128"/>
      <c r="G7" s="128"/>
      <c r="H7" s="129"/>
      <c r="L7" t="s">
        <v>111</v>
      </c>
    </row>
    <row r="8" spans="1:22" ht="30" customHeight="1" x14ac:dyDescent="0.3">
      <c r="B8" s="8" t="s">
        <v>0</v>
      </c>
      <c r="C8" s="4" t="s">
        <v>3</v>
      </c>
      <c r="D8" s="4" t="s">
        <v>4</v>
      </c>
      <c r="E8" s="4" t="s">
        <v>10</v>
      </c>
      <c r="F8" s="4" t="s">
        <v>6</v>
      </c>
      <c r="G8" s="4" t="s">
        <v>9</v>
      </c>
      <c r="H8" s="9" t="s">
        <v>50</v>
      </c>
      <c r="I8" s="1"/>
      <c r="L8" s="123" t="s">
        <v>113</v>
      </c>
      <c r="M8" s="123"/>
      <c r="N8" s="123"/>
      <c r="O8" s="123"/>
      <c r="P8" s="123"/>
      <c r="Q8" s="123"/>
      <c r="R8" s="123"/>
      <c r="S8" s="123"/>
      <c r="T8" s="123"/>
      <c r="U8" s="123"/>
      <c r="V8" s="118"/>
    </row>
    <row r="9" spans="1:22" x14ac:dyDescent="0.3">
      <c r="B9" s="10">
        <v>3</v>
      </c>
      <c r="C9">
        <v>637.5</v>
      </c>
      <c r="D9" s="5">
        <v>0.14000000000000001</v>
      </c>
      <c r="E9">
        <f>C9*D9</f>
        <v>89.250000000000014</v>
      </c>
      <c r="F9">
        <v>1.6</v>
      </c>
      <c r="G9">
        <f>C9*F9</f>
        <v>1020</v>
      </c>
      <c r="H9" s="11">
        <f>G9*D9</f>
        <v>142.80000000000001</v>
      </c>
      <c r="L9" t="s">
        <v>112</v>
      </c>
    </row>
    <row r="10" spans="1:22" x14ac:dyDescent="0.3">
      <c r="B10" s="12">
        <v>6</v>
      </c>
      <c r="C10" s="6">
        <v>356.2</v>
      </c>
      <c r="D10" s="7">
        <v>0.14000000000000001</v>
      </c>
      <c r="E10" s="6">
        <f>C10*D10</f>
        <v>49.868000000000002</v>
      </c>
      <c r="F10" s="6">
        <v>1.6</v>
      </c>
      <c r="G10" s="6">
        <f>C10*F10</f>
        <v>569.91999999999996</v>
      </c>
      <c r="H10" s="13">
        <f>G10*D10</f>
        <v>79.788799999999995</v>
      </c>
      <c r="L10" t="s">
        <v>105</v>
      </c>
    </row>
    <row r="12" spans="1:22" x14ac:dyDescent="0.3">
      <c r="B12" s="127" t="s">
        <v>5</v>
      </c>
      <c r="C12" s="128"/>
      <c r="D12" s="128"/>
      <c r="E12" s="128"/>
      <c r="F12" s="128"/>
      <c r="G12" s="128"/>
      <c r="H12" s="129"/>
      <c r="L12" s="15" t="s">
        <v>115</v>
      </c>
    </row>
    <row r="13" spans="1:22" ht="28.8" x14ac:dyDescent="0.3">
      <c r="B13" s="8" t="s">
        <v>0</v>
      </c>
      <c r="C13" s="4" t="s">
        <v>8</v>
      </c>
      <c r="D13" s="4" t="s">
        <v>4</v>
      </c>
      <c r="E13" s="4" t="s">
        <v>11</v>
      </c>
      <c r="F13" s="4" t="s">
        <v>7</v>
      </c>
      <c r="G13" s="4" t="s">
        <v>9</v>
      </c>
      <c r="H13" s="9" t="s">
        <v>50</v>
      </c>
      <c r="I13" s="1"/>
      <c r="L13" s="124" t="s">
        <v>109</v>
      </c>
      <c r="M13" s="124"/>
      <c r="N13" s="97" t="s">
        <v>110</v>
      </c>
    </row>
    <row r="14" spans="1:22" x14ac:dyDescent="0.3">
      <c r="B14" s="10">
        <v>6</v>
      </c>
      <c r="C14">
        <v>3.7</v>
      </c>
      <c r="D14" s="14">
        <v>0.16</v>
      </c>
      <c r="E14">
        <f>C14*D14</f>
        <v>0.59200000000000008</v>
      </c>
      <c r="F14">
        <v>150</v>
      </c>
      <c r="G14">
        <f>C14*F14</f>
        <v>555</v>
      </c>
      <c r="H14" s="11">
        <f>G14*D14</f>
        <v>88.8</v>
      </c>
    </row>
    <row r="15" spans="1:22" x14ac:dyDescent="0.3">
      <c r="B15" s="12">
        <v>13</v>
      </c>
      <c r="C15" s="6">
        <v>0.6</v>
      </c>
      <c r="D15" s="7">
        <v>0.16</v>
      </c>
      <c r="E15" s="6">
        <f>C15*D15</f>
        <v>9.6000000000000002E-2</v>
      </c>
      <c r="F15" s="6">
        <v>150</v>
      </c>
      <c r="G15" s="6">
        <f>C15*F15</f>
        <v>90</v>
      </c>
      <c r="H15" s="13">
        <f>G15*D15</f>
        <v>14.4</v>
      </c>
    </row>
    <row r="16" spans="1:22" ht="16.5" customHeight="1" x14ac:dyDescent="0.3">
      <c r="D16" s="14"/>
    </row>
    <row r="17" spans="1:11" s="3" customFormat="1" ht="2.25" customHeight="1" x14ac:dyDescent="0.3">
      <c r="A17" s="101"/>
      <c r="D17" s="69"/>
    </row>
    <row r="18" spans="1:11" x14ac:dyDescent="0.3">
      <c r="D18" s="14"/>
    </row>
    <row r="19" spans="1:11" x14ac:dyDescent="0.3">
      <c r="A19" s="32">
        <v>1.2</v>
      </c>
      <c r="B19" s="15" t="s">
        <v>102</v>
      </c>
      <c r="D19" s="14"/>
    </row>
    <row r="20" spans="1:11" x14ac:dyDescent="0.3">
      <c r="B20" t="s">
        <v>103</v>
      </c>
      <c r="D20" s="14"/>
    </row>
    <row r="21" spans="1:11" ht="30" customHeight="1" x14ac:dyDescent="0.3">
      <c r="B21" s="123" t="s">
        <v>117</v>
      </c>
      <c r="C21" s="123"/>
      <c r="D21" s="123"/>
      <c r="E21" s="123"/>
      <c r="F21" s="118"/>
      <c r="G21" s="118"/>
      <c r="H21" s="118"/>
    </row>
    <row r="23" spans="1:11" x14ac:dyDescent="0.3">
      <c r="B23" s="83" t="s">
        <v>37</v>
      </c>
      <c r="C23" s="77">
        <f>'OIR - Ingestion m(t)'!C11</f>
        <v>1.2E-2</v>
      </c>
      <c r="D23" s="14"/>
      <c r="E23" s="98" t="s">
        <v>114</v>
      </c>
      <c r="F23" s="107">
        <f>C23*C25/C24</f>
        <v>50.000000000000007</v>
      </c>
    </row>
    <row r="24" spans="1:11" ht="15.6" x14ac:dyDescent="0.3">
      <c r="B24" s="83" t="s">
        <v>35</v>
      </c>
      <c r="C24" s="77">
        <f>'OIR - Dose coefficients e(50)'!C7</f>
        <v>2.4E-8</v>
      </c>
      <c r="D24" s="14"/>
      <c r="E24" s="10"/>
      <c r="F24" s="99" t="str">
        <f>IF(F23&lt;F25,"&lt;","&gt;")</f>
        <v>&lt;</v>
      </c>
      <c r="H24" s="122" t="str">
        <f>IF(F23&lt;F25,"Occorre valutazione ulteriore","Non occorre valutazione")</f>
        <v>Occorre valutazione ulteriore</v>
      </c>
      <c r="I24" s="122"/>
      <c r="J24" s="122"/>
    </row>
    <row r="25" spans="1:11" x14ac:dyDescent="0.3">
      <c r="B25" t="s">
        <v>106</v>
      </c>
      <c r="C25">
        <f>0.1*0.001</f>
        <v>1E-4</v>
      </c>
      <c r="D25" s="14"/>
      <c r="E25" s="106" t="s">
        <v>124</v>
      </c>
      <c r="F25" s="108">
        <f>G9</f>
        <v>1020</v>
      </c>
      <c r="K25" s="15"/>
    </row>
    <row r="26" spans="1:11" x14ac:dyDescent="0.3">
      <c r="D26" s="14"/>
      <c r="H26" t="s">
        <v>118</v>
      </c>
    </row>
    <row r="28" spans="1:11" s="3" customFormat="1" ht="3.75" customHeight="1" x14ac:dyDescent="0.3">
      <c r="A28" s="101"/>
    </row>
    <row r="30" spans="1:11" x14ac:dyDescent="0.3">
      <c r="A30" s="32" t="s">
        <v>12</v>
      </c>
      <c r="B30" s="15" t="s">
        <v>33</v>
      </c>
    </row>
    <row r="31" spans="1:11" x14ac:dyDescent="0.3">
      <c r="B31" s="100" t="s">
        <v>116</v>
      </c>
      <c r="C31" t="s">
        <v>120</v>
      </c>
    </row>
    <row r="32" spans="1:11" ht="15" thickBot="1" x14ac:dyDescent="0.35"/>
    <row r="33" spans="1:8" x14ac:dyDescent="0.3">
      <c r="B33" s="83" t="s">
        <v>37</v>
      </c>
      <c r="C33" s="77">
        <f>'OIR - Ingestion m(t)'!C11</f>
        <v>1.2E-2</v>
      </c>
      <c r="E33" s="85" t="s">
        <v>36</v>
      </c>
      <c r="F33" s="86">
        <f>G9/C33</f>
        <v>85000</v>
      </c>
      <c r="H33" s="16"/>
    </row>
    <row r="34" spans="1:8" ht="15" thickBot="1" x14ac:dyDescent="0.35">
      <c r="B34" s="83" t="s">
        <v>35</v>
      </c>
      <c r="C34" s="77">
        <f>'OIR - Dose coefficients e(50)'!C7</f>
        <v>2.4E-8</v>
      </c>
      <c r="E34" s="87" t="s">
        <v>38</v>
      </c>
      <c r="F34" s="88">
        <f>F33*C34*1000</f>
        <v>2.04</v>
      </c>
      <c r="H34" t="s">
        <v>119</v>
      </c>
    </row>
    <row r="36" spans="1:8" x14ac:dyDescent="0.3">
      <c r="A36" s="102" t="s">
        <v>42</v>
      </c>
      <c r="B36" s="15" t="s">
        <v>43</v>
      </c>
    </row>
    <row r="37" spans="1:8" x14ac:dyDescent="0.3">
      <c r="B37" s="2" t="s">
        <v>44</v>
      </c>
      <c r="C37" s="16">
        <f>EXP(H9/G9)</f>
        <v>1.1502737988572274</v>
      </c>
      <c r="E37" t="s">
        <v>46</v>
      </c>
      <c r="F37">
        <f>EXP(SQRT(LN(C37)^2+LN(C38)^2))</f>
        <v>1.1845507680780321</v>
      </c>
    </row>
    <row r="38" spans="1:8" x14ac:dyDescent="0.3">
      <c r="B38" s="2" t="s">
        <v>45</v>
      </c>
      <c r="C38" s="17">
        <v>1.1000000000000001</v>
      </c>
    </row>
    <row r="39" spans="1:8" x14ac:dyDescent="0.3">
      <c r="B39" s="2"/>
      <c r="C39" s="17"/>
    </row>
    <row r="40" spans="1:8" x14ac:dyDescent="0.3">
      <c r="A40" s="32">
        <v>2.2000000000000002</v>
      </c>
      <c r="B40" t="s">
        <v>122</v>
      </c>
    </row>
    <row r="41" spans="1:8" x14ac:dyDescent="0.3">
      <c r="B41" t="s">
        <v>123</v>
      </c>
    </row>
    <row r="42" spans="1:8" x14ac:dyDescent="0.3">
      <c r="B42" t="s">
        <v>107</v>
      </c>
      <c r="C42">
        <v>0</v>
      </c>
    </row>
    <row r="44" spans="1:8" x14ac:dyDescent="0.3">
      <c r="A44" s="32">
        <v>2.2999999999999998</v>
      </c>
      <c r="B44" s="110" t="s">
        <v>126</v>
      </c>
      <c r="C44" s="109">
        <f>G9</f>
        <v>1020</v>
      </c>
    </row>
    <row r="45" spans="1:8" x14ac:dyDescent="0.3">
      <c r="B45" s="15"/>
      <c r="C45" s="109" t="str">
        <f>IF(C44&gt;C46,"&gt;","&lt;")</f>
        <v>&gt;</v>
      </c>
      <c r="E45" s="15" t="str">
        <f>IF(C44&gt;C46,"Presenza di un nuovo intake (essendo evento incidentale)","Nessun nuovo intake")</f>
        <v>Presenza di un nuovo intake (essendo evento incidentale)</v>
      </c>
    </row>
    <row r="46" spans="1:8" x14ac:dyDescent="0.3">
      <c r="B46" s="15" t="s">
        <v>125</v>
      </c>
      <c r="C46" s="109">
        <f>F37*F37*C42</f>
        <v>0</v>
      </c>
    </row>
    <row r="49" spans="1:8" x14ac:dyDescent="0.3">
      <c r="A49" s="32" t="s">
        <v>47</v>
      </c>
      <c r="B49" t="s">
        <v>121</v>
      </c>
    </row>
    <row r="51" spans="1:8" s="3" customFormat="1" ht="9" customHeight="1" x14ac:dyDescent="0.3">
      <c r="A51" s="101"/>
    </row>
    <row r="53" spans="1:8" x14ac:dyDescent="0.3">
      <c r="A53" s="32" t="s">
        <v>48</v>
      </c>
      <c r="B53" t="s">
        <v>49</v>
      </c>
    </row>
    <row r="55" spans="1:8" x14ac:dyDescent="0.3">
      <c r="A55" s="32" t="s">
        <v>51</v>
      </c>
      <c r="B55" s="15" t="s">
        <v>108</v>
      </c>
    </row>
    <row r="56" spans="1:8" x14ac:dyDescent="0.3">
      <c r="B56" s="15"/>
      <c r="C56" s="15"/>
      <c r="D56" s="15"/>
      <c r="E56" s="15"/>
      <c r="F56" s="15"/>
      <c r="G56" s="15"/>
      <c r="H56" s="15"/>
    </row>
    <row r="57" spans="1:8" ht="27.6" x14ac:dyDescent="0.3">
      <c r="B57" s="24" t="str">
        <f>B8</f>
        <v>Giorni dopo</v>
      </c>
      <c r="C57" s="25" t="s">
        <v>69</v>
      </c>
      <c r="D57" s="26" t="str">
        <f t="shared" ref="D57:E59" si="0">G8</f>
        <v>Misura [Bq/d]</v>
      </c>
      <c r="E57" s="26" t="str">
        <f t="shared" si="0"/>
        <v>Incertezza [Bq/d]</v>
      </c>
      <c r="F57" s="24" t="s">
        <v>44</v>
      </c>
      <c r="G57" s="26" t="s">
        <v>45</v>
      </c>
      <c r="H57" s="27" t="s">
        <v>46</v>
      </c>
    </row>
    <row r="58" spans="1:8" x14ac:dyDescent="0.3">
      <c r="B58" s="19">
        <f>B9</f>
        <v>3</v>
      </c>
      <c r="C58" s="28" t="s">
        <v>41</v>
      </c>
      <c r="D58" s="18">
        <f t="shared" si="0"/>
        <v>1020</v>
      </c>
      <c r="E58" s="18">
        <f t="shared" si="0"/>
        <v>142.80000000000001</v>
      </c>
      <c r="F58" s="19">
        <f>EXP(E58/D58)</f>
        <v>1.1502737988572274</v>
      </c>
      <c r="G58" s="18">
        <v>1.1000000000000001</v>
      </c>
      <c r="H58" s="20">
        <f>EXP(SQRT(LN(F58)^2+LN(G58)^2))</f>
        <v>1.1845507680780321</v>
      </c>
    </row>
    <row r="59" spans="1:8" x14ac:dyDescent="0.3">
      <c r="B59" s="19">
        <f>B10</f>
        <v>6</v>
      </c>
      <c r="C59" s="28" t="s">
        <v>41</v>
      </c>
      <c r="D59" s="18">
        <f t="shared" si="0"/>
        <v>569.91999999999996</v>
      </c>
      <c r="E59" s="18">
        <f t="shared" si="0"/>
        <v>79.788799999999995</v>
      </c>
      <c r="F59" s="19">
        <f>EXP(E59/D59)</f>
        <v>1.1502737988572274</v>
      </c>
      <c r="G59" s="18">
        <v>1.1000000000000001</v>
      </c>
      <c r="H59" s="20">
        <f>EXP(SQRT(LN(F59)^2+LN(G59)^2))</f>
        <v>1.1845507680780321</v>
      </c>
    </row>
    <row r="60" spans="1:8" x14ac:dyDescent="0.3">
      <c r="B60" s="19">
        <f>B14</f>
        <v>6</v>
      </c>
      <c r="C60" s="28" t="s">
        <v>70</v>
      </c>
      <c r="D60" s="18">
        <f>G14</f>
        <v>555</v>
      </c>
      <c r="E60" s="18">
        <f>H14</f>
        <v>88.8</v>
      </c>
      <c r="F60" s="19">
        <f>EXP(E60/D60)</f>
        <v>1.1735108709918103</v>
      </c>
      <c r="G60" s="18">
        <v>3</v>
      </c>
      <c r="H60" s="20">
        <f>EXP(SQRT(LN(F60)^2+LN(G60)^2))</f>
        <v>3.0349720528448727</v>
      </c>
    </row>
    <row r="61" spans="1:8" x14ac:dyDescent="0.3">
      <c r="B61" s="21">
        <f>B15</f>
        <v>13</v>
      </c>
      <c r="C61" s="29" t="s">
        <v>70</v>
      </c>
      <c r="D61" s="22">
        <f>G15</f>
        <v>90</v>
      </c>
      <c r="E61" s="22">
        <f>H15</f>
        <v>14.4</v>
      </c>
      <c r="F61" s="21">
        <f>EXP(E61/D61)</f>
        <v>1.1735108709918103</v>
      </c>
      <c r="G61" s="22">
        <v>3</v>
      </c>
      <c r="H61" s="23">
        <f>EXP(SQRT(LN(F61)^2+LN(G61)^2))</f>
        <v>3.0349720528448727</v>
      </c>
    </row>
    <row r="62" spans="1:8" x14ac:dyDescent="0.3">
      <c r="B62" s="18"/>
      <c r="C62" s="28"/>
      <c r="D62" s="18"/>
      <c r="E62" s="18"/>
      <c r="F62" s="18"/>
      <c r="G62" s="18"/>
      <c r="H62" s="18"/>
    </row>
    <row r="63" spans="1:8" x14ac:dyDescent="0.3">
      <c r="B63" s="15"/>
      <c r="C63" s="15"/>
      <c r="D63" s="15"/>
      <c r="E63" s="15"/>
      <c r="F63" s="15"/>
      <c r="G63" s="15"/>
      <c r="H63" s="15"/>
    </row>
    <row r="64" spans="1:8" x14ac:dyDescent="0.3">
      <c r="A64" s="32" t="s">
        <v>52</v>
      </c>
      <c r="B64" s="30" t="str">
        <f>B41</f>
        <v>No intake precedenti (scenario incidentale e Sr-90 non è un NORM...), dunque:</v>
      </c>
      <c r="C64" s="30"/>
      <c r="D64" s="30"/>
    </row>
    <row r="66" spans="1:12" x14ac:dyDescent="0.3">
      <c r="A66" s="32" t="s">
        <v>53</v>
      </c>
      <c r="B66" s="15" t="s">
        <v>54</v>
      </c>
    </row>
    <row r="67" spans="1:12" x14ac:dyDescent="0.3">
      <c r="B67" t="s">
        <v>74</v>
      </c>
      <c r="C67">
        <v>0.25</v>
      </c>
      <c r="E67" t="s">
        <v>127</v>
      </c>
    </row>
    <row r="68" spans="1:12" x14ac:dyDescent="0.3">
      <c r="B68" s="111" t="s">
        <v>75</v>
      </c>
      <c r="C68" s="80">
        <f>'OIR - Dose coefficients e(50)'!C7</f>
        <v>2.4E-8</v>
      </c>
    </row>
    <row r="70" spans="1:12" x14ac:dyDescent="0.3">
      <c r="A70" s="32" t="s">
        <v>56</v>
      </c>
      <c r="B70" t="s">
        <v>57</v>
      </c>
      <c r="C70" t="s">
        <v>55</v>
      </c>
    </row>
    <row r="72" spans="1:12" x14ac:dyDescent="0.3">
      <c r="A72" s="32" t="s">
        <v>58</v>
      </c>
      <c r="B72" s="15" t="s">
        <v>59</v>
      </c>
    </row>
    <row r="73" spans="1:12" x14ac:dyDescent="0.3">
      <c r="B73" s="40" t="s">
        <v>61</v>
      </c>
      <c r="C73" s="78" t="s">
        <v>62</v>
      </c>
      <c r="D73" s="41" t="s">
        <v>36</v>
      </c>
      <c r="E73" s="112" t="s">
        <v>63</v>
      </c>
      <c r="F73" s="113" t="s">
        <v>64</v>
      </c>
    </row>
    <row r="74" spans="1:12" x14ac:dyDescent="0.3">
      <c r="B74" s="19" t="s">
        <v>65</v>
      </c>
      <c r="C74" s="77">
        <f>'OIR - Ingestion m(t)'!C11</f>
        <v>1.2E-2</v>
      </c>
      <c r="D74" s="36">
        <f>D58/C74</f>
        <v>85000</v>
      </c>
      <c r="E74" s="114">
        <f>LN(D74)/(LN(H58))^2</f>
        <v>395.70473142536781</v>
      </c>
      <c r="F74" s="115">
        <f>1/(LN(H58))^2</f>
        <v>34.862604276657905</v>
      </c>
      <c r="H74" s="95" t="s">
        <v>71</v>
      </c>
      <c r="I74" s="94">
        <f>SUM(E74:E77)</f>
        <v>815.96524309820973</v>
      </c>
      <c r="K74" s="70" t="s">
        <v>36</v>
      </c>
      <c r="L74" s="71">
        <f>EXP(I76)</f>
        <v>92636.246475985667</v>
      </c>
    </row>
    <row r="75" spans="1:12" x14ac:dyDescent="0.3">
      <c r="B75" s="19" t="s">
        <v>66</v>
      </c>
      <c r="C75" s="77">
        <f>'OIR - Ingestion m(t)'!C14</f>
        <v>5.7000000000000002E-3</v>
      </c>
      <c r="D75" s="36">
        <f>D59/C75</f>
        <v>99985.964912280688</v>
      </c>
      <c r="E75" s="114">
        <f>LN(D75)/(LN(H59))^2</f>
        <v>401.36567121142303</v>
      </c>
      <c r="F75" s="115">
        <f>1/(LN(H59))^2</f>
        <v>34.862604276657905</v>
      </c>
      <c r="H75" s="95" t="s">
        <v>72</v>
      </c>
      <c r="I75" s="95">
        <f>SUM(F74:F77)</f>
        <v>71.347862146469197</v>
      </c>
      <c r="K75" s="72" t="s">
        <v>34</v>
      </c>
      <c r="L75" s="73">
        <f>C68</f>
        <v>2.4E-8</v>
      </c>
    </row>
    <row r="76" spans="1:12" x14ac:dyDescent="0.3">
      <c r="B76" s="19" t="s">
        <v>67</v>
      </c>
      <c r="C76" s="77">
        <f>'OIR - Ingestion m(t)'!D14</f>
        <v>4.7999999999999996E-3</v>
      </c>
      <c r="D76" s="36">
        <f>D60/C76</f>
        <v>115625.00000000001</v>
      </c>
      <c r="E76" s="114">
        <f>LN(D76)/(LN(H60))^2</f>
        <v>9.4585349916881949</v>
      </c>
      <c r="F76" s="115">
        <f>1/(LN(H60))^2</f>
        <v>0.81132679657668971</v>
      </c>
      <c r="H76" s="95" t="s">
        <v>73</v>
      </c>
      <c r="I76" s="94">
        <f>I74/I75</f>
        <v>11.436435774671484</v>
      </c>
      <c r="K76" s="74" t="s">
        <v>38</v>
      </c>
      <c r="L76" s="75">
        <f>L74*L75*1000</f>
        <v>2.2232699154236562</v>
      </c>
    </row>
    <row r="77" spans="1:12" x14ac:dyDescent="0.3">
      <c r="B77" s="21" t="s">
        <v>68</v>
      </c>
      <c r="C77" s="84">
        <f>'OIR - Ingestion m(t)'!D21</f>
        <v>8.0000000000000004E-4</v>
      </c>
      <c r="D77" s="37">
        <f>D61/C77</f>
        <v>112500</v>
      </c>
      <c r="E77" s="116">
        <f>LN(D77)/(LN(H61))^2</f>
        <v>9.4363054697306641</v>
      </c>
      <c r="F77" s="117">
        <f>1/(LN(H61))^2</f>
        <v>0.81132679657668971</v>
      </c>
    </row>
    <row r="79" spans="1:12" x14ac:dyDescent="0.3">
      <c r="A79" s="32" t="s">
        <v>76</v>
      </c>
      <c r="B79" s="31" t="str">
        <f>IF(L76&gt;1,"E(50) superiore a 1 mSv","E(50) non superiore a 1 mSv")</f>
        <v>E(50) superiore a 1 mSv</v>
      </c>
    </row>
    <row r="80" spans="1:12" s="34" customFormat="1" x14ac:dyDescent="0.3">
      <c r="A80" s="103"/>
    </row>
    <row r="81" spans="1:7" s="3" customFormat="1" ht="2.25" customHeight="1" x14ac:dyDescent="0.3">
      <c r="A81" s="101"/>
    </row>
    <row r="83" spans="1:7" x14ac:dyDescent="0.3">
      <c r="A83" s="32" t="s">
        <v>77</v>
      </c>
      <c r="B83" t="s">
        <v>128</v>
      </c>
    </row>
    <row r="85" spans="1:7" x14ac:dyDescent="0.3">
      <c r="A85" s="32" t="s">
        <v>78</v>
      </c>
      <c r="B85" t="s">
        <v>129</v>
      </c>
    </row>
    <row r="87" spans="1:7" x14ac:dyDescent="0.3">
      <c r="A87" s="32" t="s">
        <v>79</v>
      </c>
      <c r="B87" s="76" t="s">
        <v>130</v>
      </c>
    </row>
    <row r="88" spans="1:7" x14ac:dyDescent="0.3">
      <c r="B88" s="42" t="str">
        <f>B73</f>
        <v># misura</v>
      </c>
      <c r="C88" s="35" t="s">
        <v>9</v>
      </c>
      <c r="D88" s="44" t="s">
        <v>46</v>
      </c>
      <c r="E88" s="43" t="str">
        <f>C73</f>
        <v>m(t)</v>
      </c>
      <c r="F88" s="47" t="s">
        <v>80</v>
      </c>
      <c r="G88" s="48" t="s">
        <v>81</v>
      </c>
    </row>
    <row r="89" spans="1:7" x14ac:dyDescent="0.3">
      <c r="B89" s="19" t="str">
        <f>B74</f>
        <v>Urine d=3</v>
      </c>
      <c r="C89" s="18">
        <f>D58</f>
        <v>1020</v>
      </c>
      <c r="D89" s="20">
        <f>H58</f>
        <v>1.1845507680780321</v>
      </c>
      <c r="E89" s="45">
        <f>C74</f>
        <v>1.2E-2</v>
      </c>
      <c r="F89" s="49">
        <f>$L$74*E89</f>
        <v>1111.6349577118281</v>
      </c>
      <c r="G89" s="50">
        <f>(LN(C89)-LN(F89))^2/(LN(D89))^2</f>
        <v>0.25801918003080199</v>
      </c>
    </row>
    <row r="90" spans="1:7" x14ac:dyDescent="0.3">
      <c r="B90" s="19" t="str">
        <f>B75</f>
        <v>Urine d=6</v>
      </c>
      <c r="C90" s="18">
        <f>D59</f>
        <v>569.91999999999996</v>
      </c>
      <c r="D90" s="20">
        <f>H59</f>
        <v>1.1845507680780321</v>
      </c>
      <c r="E90" s="45">
        <f>C75</f>
        <v>5.7000000000000002E-3</v>
      </c>
      <c r="F90" s="49">
        <f>$L$74*E90</f>
        <v>528.02660491311826</v>
      </c>
      <c r="G90" s="50">
        <f>(LN(C90)-LN(F90))^2/(LN(D90))^2</f>
        <v>0.20322179449458741</v>
      </c>
    </row>
    <row r="91" spans="1:7" x14ac:dyDescent="0.3">
      <c r="B91" s="19" t="str">
        <f>B76</f>
        <v>Feci d=6</v>
      </c>
      <c r="C91" s="18">
        <f>D60</f>
        <v>555</v>
      </c>
      <c r="D91" s="20">
        <f>H60</f>
        <v>3.0349720528448727</v>
      </c>
      <c r="E91" s="45">
        <f>C76</f>
        <v>4.7999999999999996E-3</v>
      </c>
      <c r="F91" s="49">
        <f>$L$74*E91</f>
        <v>444.65398308473118</v>
      </c>
      <c r="G91" s="50">
        <f>(LN(C91)-LN(F91))^2/(LN(D91))^2</f>
        <v>3.9867254126765304E-2</v>
      </c>
    </row>
    <row r="92" spans="1:7" x14ac:dyDescent="0.3">
      <c r="B92" s="21" t="str">
        <f>B77</f>
        <v>Feci d=13</v>
      </c>
      <c r="C92" s="22">
        <f>D61</f>
        <v>90</v>
      </c>
      <c r="D92" s="23">
        <f>H61</f>
        <v>3.0349720528448727</v>
      </c>
      <c r="E92" s="46">
        <f>C77</f>
        <v>8.0000000000000004E-4</v>
      </c>
      <c r="F92" s="51">
        <f>$L$74*E92</f>
        <v>74.108997180788535</v>
      </c>
      <c r="G92" s="52">
        <f>(LN(C92)-LN(F92))^2/(LN(D92))^2</f>
        <v>3.0621008373699091E-2</v>
      </c>
    </row>
    <row r="94" spans="1:7" x14ac:dyDescent="0.3">
      <c r="B94" t="s">
        <v>82</v>
      </c>
      <c r="C94" s="53">
        <f>SUM(G89:G92)</f>
        <v>0.53172923702585373</v>
      </c>
      <c r="E94" s="18"/>
    </row>
    <row r="95" spans="1:7" x14ac:dyDescent="0.3">
      <c r="B95" t="s">
        <v>83</v>
      </c>
      <c r="C95">
        <f>COUNT(C89:C92)</f>
        <v>4</v>
      </c>
    </row>
    <row r="96" spans="1:7" x14ac:dyDescent="0.3">
      <c r="B96" t="s">
        <v>84</v>
      </c>
      <c r="C96">
        <f>C95-1</f>
        <v>3</v>
      </c>
    </row>
    <row r="97" spans="2:25" x14ac:dyDescent="0.3">
      <c r="B97" s="15" t="s">
        <v>85</v>
      </c>
      <c r="C97" s="109">
        <f>CHIDIST(C94,C96)</f>
        <v>0.91186734273604853</v>
      </c>
      <c r="D97" s="15"/>
    </row>
    <row r="98" spans="2:25" x14ac:dyDescent="0.3">
      <c r="B98" s="15"/>
      <c r="C98" s="96" t="str">
        <f>IF(C97&gt;C99,"&gt;","&lt;")</f>
        <v>&gt;</v>
      </c>
      <c r="D98" s="15"/>
      <c r="E98" s="15" t="str">
        <f>IF(C97&gt;C99,"Criterio 1 rispettato","Criterio 1 non rispettato")</f>
        <v>Criterio 1 rispettato</v>
      </c>
    </row>
    <row r="99" spans="2:25" x14ac:dyDescent="0.3">
      <c r="B99" s="15"/>
      <c r="C99" s="109">
        <v>0.05</v>
      </c>
      <c r="D99" s="15"/>
    </row>
    <row r="102" spans="2:25" x14ac:dyDescent="0.3">
      <c r="B102" s="76" t="s">
        <v>131</v>
      </c>
      <c r="E102" s="15" t="s">
        <v>132</v>
      </c>
    </row>
    <row r="103" spans="2:25" x14ac:dyDescent="0.3">
      <c r="T103" s="119" t="s">
        <v>89</v>
      </c>
      <c r="U103" s="120"/>
      <c r="V103" s="120"/>
      <c r="W103" s="120"/>
      <c r="X103" s="120"/>
      <c r="Y103" s="121"/>
    </row>
    <row r="104" spans="2:25" x14ac:dyDescent="0.3">
      <c r="T104" s="54" t="s">
        <v>40</v>
      </c>
      <c r="U104" s="79" t="s">
        <v>62</v>
      </c>
      <c r="V104" s="32" t="s">
        <v>80</v>
      </c>
      <c r="W104" s="32" t="s">
        <v>60</v>
      </c>
      <c r="X104" s="32" t="s">
        <v>86</v>
      </c>
      <c r="Y104" s="38" t="s">
        <v>87</v>
      </c>
    </row>
    <row r="105" spans="2:25" x14ac:dyDescent="0.3">
      <c r="T105" s="59">
        <v>1</v>
      </c>
      <c r="U105" s="80">
        <f>'OIR - Ingestion m(t)'!C9</f>
        <v>4.7E-2</v>
      </c>
      <c r="V105" s="60">
        <f t="shared" ref="V105:V124" si="1">$L$74*U105</f>
        <v>4353.9035843713264</v>
      </c>
      <c r="W105" s="32"/>
      <c r="X105" s="32"/>
      <c r="Y105" s="38"/>
    </row>
    <row r="106" spans="2:25" x14ac:dyDescent="0.3">
      <c r="T106" s="59">
        <v>2</v>
      </c>
      <c r="U106" s="80">
        <f>'OIR - Ingestion m(t)'!C10</f>
        <v>1.9E-2</v>
      </c>
      <c r="V106" s="60">
        <f t="shared" si="1"/>
        <v>1760.0886830437275</v>
      </c>
      <c r="W106" s="32"/>
      <c r="X106" s="32"/>
      <c r="Y106" s="38"/>
    </row>
    <row r="107" spans="2:25" x14ac:dyDescent="0.3">
      <c r="T107" s="63">
        <v>3</v>
      </c>
      <c r="U107" s="81">
        <f>'OIR - Ingestion m(t)'!C11</f>
        <v>1.2E-2</v>
      </c>
      <c r="V107" s="65">
        <f t="shared" si="1"/>
        <v>1111.6349577118281</v>
      </c>
      <c r="W107" s="66">
        <f>$C$89</f>
        <v>1020</v>
      </c>
      <c r="X107" s="66">
        <f>W107*D89</f>
        <v>1208.2417834395926</v>
      </c>
      <c r="Y107" s="67">
        <f>W107/D89</f>
        <v>861.0859302003405</v>
      </c>
    </row>
    <row r="108" spans="2:25" x14ac:dyDescent="0.3">
      <c r="T108" s="59">
        <v>4</v>
      </c>
      <c r="U108" s="80">
        <f>'OIR - Ingestion m(t)'!C12</f>
        <v>8.8999999999999999E-3</v>
      </c>
      <c r="V108" s="60">
        <f t="shared" si="1"/>
        <v>824.46259363627246</v>
      </c>
      <c r="W108" s="32"/>
      <c r="X108" s="32"/>
      <c r="Y108" s="38"/>
    </row>
    <row r="109" spans="2:25" x14ac:dyDescent="0.3">
      <c r="T109" s="59">
        <v>5</v>
      </c>
      <c r="U109" s="80">
        <f>'OIR - Ingestion m(t)'!C13</f>
        <v>7.0000000000000001E-3</v>
      </c>
      <c r="V109" s="60">
        <f t="shared" si="1"/>
        <v>648.4537253318997</v>
      </c>
      <c r="W109" s="32"/>
      <c r="X109" s="32"/>
      <c r="Y109" s="38"/>
    </row>
    <row r="110" spans="2:25" x14ac:dyDescent="0.3">
      <c r="T110" s="63">
        <v>6</v>
      </c>
      <c r="U110" s="81">
        <f>'OIR - Ingestion m(t)'!C14</f>
        <v>5.7000000000000002E-3</v>
      </c>
      <c r="V110" s="65">
        <f t="shared" si="1"/>
        <v>528.02660491311826</v>
      </c>
      <c r="W110" s="66">
        <f>C90</f>
        <v>569.91999999999996</v>
      </c>
      <c r="X110" s="66">
        <f>W110*D90</f>
        <v>675.099173743032</v>
      </c>
      <c r="Y110" s="67">
        <f>W110/D90</f>
        <v>481.12754248997845</v>
      </c>
    </row>
    <row r="111" spans="2:25" x14ac:dyDescent="0.3">
      <c r="T111" s="59">
        <v>7</v>
      </c>
      <c r="U111" s="80">
        <f>'OIR - Ingestion m(t)'!C15</f>
        <v>4.7000000000000002E-3</v>
      </c>
      <c r="V111" s="60">
        <f t="shared" si="1"/>
        <v>435.39035843713265</v>
      </c>
      <c r="W111" s="32"/>
      <c r="X111" s="32"/>
      <c r="Y111" s="38"/>
    </row>
    <row r="112" spans="2:25" x14ac:dyDescent="0.3">
      <c r="T112" s="59">
        <v>8</v>
      </c>
      <c r="U112" s="80">
        <f>'OIR - Ingestion m(t)'!C16</f>
        <v>4.0000000000000001E-3</v>
      </c>
      <c r="V112" s="60">
        <f t="shared" si="1"/>
        <v>370.54498590394269</v>
      </c>
      <c r="W112" s="32"/>
      <c r="X112" s="32"/>
      <c r="Y112" s="38"/>
    </row>
    <row r="113" spans="3:25" x14ac:dyDescent="0.3">
      <c r="T113" s="59">
        <v>9</v>
      </c>
      <c r="U113" s="80">
        <f>'OIR - Ingestion m(t)'!C17</f>
        <v>3.5000000000000001E-3</v>
      </c>
      <c r="V113" s="60">
        <f t="shared" si="1"/>
        <v>324.22686266594985</v>
      </c>
      <c r="W113" s="32"/>
      <c r="X113" s="32"/>
      <c r="Y113" s="38"/>
    </row>
    <row r="114" spans="3:25" x14ac:dyDescent="0.3">
      <c r="T114" s="59">
        <v>10</v>
      </c>
      <c r="U114" s="80">
        <f>'OIR - Ingestion m(t)'!C18</f>
        <v>3.0999999999999999E-3</v>
      </c>
      <c r="V114" s="60">
        <f t="shared" si="1"/>
        <v>287.17236407555555</v>
      </c>
      <c r="W114" s="32"/>
      <c r="X114" s="32"/>
      <c r="Y114" s="38"/>
    </row>
    <row r="115" spans="3:25" x14ac:dyDescent="0.3">
      <c r="T115" s="59">
        <v>11</v>
      </c>
      <c r="U115" s="80">
        <f>'OIR - Ingestion m(t)'!C19</f>
        <v>2.8E-3</v>
      </c>
      <c r="V115" s="60">
        <f t="shared" si="1"/>
        <v>259.38149013275984</v>
      </c>
      <c r="W115" s="32"/>
      <c r="X115" s="32"/>
      <c r="Y115" s="38"/>
    </row>
    <row r="116" spans="3:25" x14ac:dyDescent="0.3">
      <c r="T116" s="59">
        <v>12</v>
      </c>
      <c r="U116" s="80">
        <f>'OIR - Ingestion m(t)'!C20</f>
        <v>2.5000000000000001E-3</v>
      </c>
      <c r="V116" s="60">
        <f t="shared" si="1"/>
        <v>231.59061618996418</v>
      </c>
      <c r="W116" s="32"/>
      <c r="X116" s="32"/>
      <c r="Y116" s="38"/>
    </row>
    <row r="117" spans="3:25" x14ac:dyDescent="0.3">
      <c r="T117" s="59">
        <v>13</v>
      </c>
      <c r="U117" s="80">
        <f>'OIR - Ingestion m(t)'!C21</f>
        <v>2.3E-3</v>
      </c>
      <c r="V117" s="60">
        <f t="shared" si="1"/>
        <v>213.06336689476703</v>
      </c>
      <c r="W117" s="32"/>
      <c r="X117" s="32"/>
      <c r="Y117" s="38"/>
    </row>
    <row r="118" spans="3:25" x14ac:dyDescent="0.3">
      <c r="T118" s="59">
        <v>14</v>
      </c>
      <c r="U118" s="80">
        <f>'OIR - Ingestion m(t)'!C22</f>
        <v>2.0999999999999999E-3</v>
      </c>
      <c r="V118" s="60">
        <f t="shared" si="1"/>
        <v>194.53611759956988</v>
      </c>
      <c r="W118" s="32"/>
      <c r="X118" s="32"/>
      <c r="Y118" s="38"/>
    </row>
    <row r="119" spans="3:25" x14ac:dyDescent="0.3">
      <c r="T119" s="59">
        <v>15</v>
      </c>
      <c r="U119" s="80">
        <f>'OIR - Ingestion m(t)'!C23</f>
        <v>1.9E-3</v>
      </c>
      <c r="V119" s="60">
        <f t="shared" si="1"/>
        <v>176.00886830437275</v>
      </c>
      <c r="W119" s="32"/>
      <c r="X119" s="32"/>
      <c r="Y119" s="38"/>
    </row>
    <row r="120" spans="3:25" x14ac:dyDescent="0.3">
      <c r="T120" s="59">
        <v>16</v>
      </c>
      <c r="U120" s="80">
        <f>'OIR - Ingestion m(t)'!C24</f>
        <v>1.8E-3</v>
      </c>
      <c r="V120" s="60">
        <f t="shared" si="1"/>
        <v>166.74524365677419</v>
      </c>
      <c r="W120" s="32"/>
      <c r="X120" s="32"/>
      <c r="Y120" s="38"/>
    </row>
    <row r="121" spans="3:25" x14ac:dyDescent="0.3">
      <c r="T121" s="59">
        <v>17</v>
      </c>
      <c r="U121" s="80">
        <f>'OIR - Ingestion m(t)'!C25</f>
        <v>1.6000000000000001E-3</v>
      </c>
      <c r="V121" s="60">
        <f t="shared" si="1"/>
        <v>148.21799436157707</v>
      </c>
      <c r="W121" s="32"/>
      <c r="X121" s="32"/>
      <c r="Y121" s="38"/>
    </row>
    <row r="122" spans="3:25" x14ac:dyDescent="0.3">
      <c r="T122" s="59">
        <v>18</v>
      </c>
      <c r="U122" s="80">
        <f>'OIR - Ingestion m(t)'!C26</f>
        <v>1.5E-3</v>
      </c>
      <c r="V122" s="60">
        <f t="shared" si="1"/>
        <v>138.95436971397851</v>
      </c>
      <c r="W122" s="32"/>
      <c r="X122" s="32"/>
      <c r="Y122" s="38"/>
    </row>
    <row r="123" spans="3:25" x14ac:dyDescent="0.3">
      <c r="T123" s="59">
        <v>19</v>
      </c>
      <c r="U123" s="80">
        <f>'OIR - Ingestion m(t)'!C27</f>
        <v>1.4E-3</v>
      </c>
      <c r="V123" s="60">
        <f t="shared" si="1"/>
        <v>129.69074506637992</v>
      </c>
      <c r="W123" s="32"/>
      <c r="X123" s="32"/>
      <c r="Y123" s="38"/>
    </row>
    <row r="124" spans="3:25" x14ac:dyDescent="0.3">
      <c r="T124" s="61">
        <v>20</v>
      </c>
      <c r="U124" s="82">
        <f>'OIR - Ingestion m(t)'!C28</f>
        <v>1.2999999999999999E-3</v>
      </c>
      <c r="V124" s="62">
        <f t="shared" si="1"/>
        <v>120.42712041878136</v>
      </c>
      <c r="W124" s="58"/>
      <c r="X124" s="58"/>
      <c r="Y124" s="39"/>
    </row>
    <row r="125" spans="3:25" x14ac:dyDescent="0.3">
      <c r="C125" s="2"/>
    </row>
    <row r="126" spans="3:25" x14ac:dyDescent="0.3">
      <c r="C126" s="2"/>
      <c r="T126" s="119" t="s">
        <v>88</v>
      </c>
      <c r="U126" s="120"/>
      <c r="V126" s="120"/>
      <c r="W126" s="120"/>
      <c r="X126" s="120"/>
      <c r="Y126" s="121"/>
    </row>
    <row r="127" spans="3:25" x14ac:dyDescent="0.3">
      <c r="C127" s="2"/>
      <c r="T127" s="54" t="s">
        <v>40</v>
      </c>
      <c r="U127" s="79" t="s">
        <v>62</v>
      </c>
      <c r="V127" s="32" t="s">
        <v>80</v>
      </c>
      <c r="W127" s="32" t="s">
        <v>60</v>
      </c>
      <c r="X127" s="32" t="s">
        <v>86</v>
      </c>
      <c r="Y127" s="38" t="s">
        <v>87</v>
      </c>
    </row>
    <row r="128" spans="3:25" x14ac:dyDescent="0.3">
      <c r="C128" s="2"/>
      <c r="T128" s="55">
        <v>1</v>
      </c>
      <c r="U128" s="80">
        <f>'OIR - Ingestion m(t)'!D9</f>
        <v>0.18</v>
      </c>
      <c r="V128" s="33">
        <f t="shared" ref="V128:V147" si="2">$L$74*U128</f>
        <v>16674.524365677418</v>
      </c>
      <c r="W128" s="32"/>
      <c r="X128" s="32"/>
      <c r="Y128" s="38"/>
    </row>
    <row r="129" spans="3:25" x14ac:dyDescent="0.3">
      <c r="C129" s="2"/>
      <c r="T129" s="55">
        <v>2</v>
      </c>
      <c r="U129" s="80">
        <f>'OIR - Ingestion m(t)'!D10</f>
        <v>0.36</v>
      </c>
      <c r="V129" s="33">
        <f t="shared" si="2"/>
        <v>33349.048731354836</v>
      </c>
      <c r="W129" s="32"/>
      <c r="X129" s="32"/>
      <c r="Y129" s="38"/>
    </row>
    <row r="130" spans="3:25" x14ac:dyDescent="0.3">
      <c r="C130" s="2"/>
      <c r="T130" s="55">
        <v>3</v>
      </c>
      <c r="U130" s="80">
        <f>'OIR - Ingestion m(t)'!D11</f>
        <v>0.17</v>
      </c>
      <c r="V130" s="33">
        <f t="shared" si="2"/>
        <v>15748.161900917565</v>
      </c>
      <c r="W130" s="32"/>
      <c r="X130" s="32"/>
      <c r="Y130" s="38"/>
    </row>
    <row r="131" spans="3:25" x14ac:dyDescent="0.3">
      <c r="C131" s="2"/>
      <c r="T131" s="55">
        <v>4</v>
      </c>
      <c r="U131" s="80">
        <f>'OIR - Ingestion m(t)'!D12</f>
        <v>5.1999999999999998E-2</v>
      </c>
      <c r="V131" s="33">
        <f t="shared" si="2"/>
        <v>4817.084816751254</v>
      </c>
      <c r="W131" s="32"/>
      <c r="X131" s="32"/>
      <c r="Y131" s="38"/>
    </row>
    <row r="132" spans="3:25" x14ac:dyDescent="0.3">
      <c r="C132" s="2"/>
      <c r="T132" s="55">
        <v>5</v>
      </c>
      <c r="U132" s="80">
        <f>'OIR - Ingestion m(t)'!D13</f>
        <v>1.4E-2</v>
      </c>
      <c r="V132" s="33">
        <f t="shared" si="2"/>
        <v>1296.9074506637994</v>
      </c>
      <c r="W132" s="32"/>
      <c r="X132" s="32"/>
      <c r="Y132" s="38"/>
    </row>
    <row r="133" spans="3:25" x14ac:dyDescent="0.3">
      <c r="C133" s="2"/>
      <c r="T133" s="68">
        <v>6</v>
      </c>
      <c r="U133" s="81">
        <f>'OIR - Ingestion m(t)'!D14</f>
        <v>4.7999999999999996E-3</v>
      </c>
      <c r="V133" s="64">
        <f t="shared" si="2"/>
        <v>444.65398308473118</v>
      </c>
      <c r="W133" s="66">
        <f>C91</f>
        <v>555</v>
      </c>
      <c r="X133" s="66">
        <f>W133*D91</f>
        <v>1684.4094893289043</v>
      </c>
      <c r="Y133" s="67">
        <f>W133/D91</f>
        <v>182.86824074039271</v>
      </c>
    </row>
    <row r="134" spans="3:25" x14ac:dyDescent="0.3">
      <c r="C134" s="2"/>
      <c r="T134" s="55">
        <v>7</v>
      </c>
      <c r="U134" s="80">
        <f>'OIR - Ingestion m(t)'!D15</f>
        <v>2.3999999999999998E-3</v>
      </c>
      <c r="V134" s="33">
        <f t="shared" si="2"/>
        <v>222.32699154236559</v>
      </c>
      <c r="W134" s="32"/>
      <c r="X134" s="32"/>
      <c r="Y134" s="38"/>
    </row>
    <row r="135" spans="3:25" x14ac:dyDescent="0.3">
      <c r="T135" s="55">
        <v>8</v>
      </c>
      <c r="U135" s="80">
        <f>'OIR - Ingestion m(t)'!D16</f>
        <v>1.6999999999999999E-3</v>
      </c>
      <c r="V135" s="33">
        <f t="shared" si="2"/>
        <v>157.48161900917563</v>
      </c>
      <c r="W135" s="32"/>
      <c r="X135" s="32"/>
      <c r="Y135" s="38"/>
    </row>
    <row r="136" spans="3:25" x14ac:dyDescent="0.3">
      <c r="T136" s="55">
        <v>9</v>
      </c>
      <c r="U136" s="80">
        <f>'OIR - Ingestion m(t)'!D17</f>
        <v>1.2999999999999999E-3</v>
      </c>
      <c r="V136" s="33">
        <f t="shared" si="2"/>
        <v>120.42712041878136</v>
      </c>
      <c r="W136" s="32"/>
      <c r="X136" s="32"/>
      <c r="Y136" s="38"/>
    </row>
    <row r="137" spans="3:25" x14ac:dyDescent="0.3">
      <c r="T137" s="55">
        <v>10</v>
      </c>
      <c r="U137" s="80">
        <f>'OIR - Ingestion m(t)'!D18</f>
        <v>1.1000000000000001E-3</v>
      </c>
      <c r="V137" s="33">
        <f t="shared" si="2"/>
        <v>101.89987112358423</v>
      </c>
      <c r="W137" s="32"/>
      <c r="X137" s="32"/>
      <c r="Y137" s="38"/>
    </row>
    <row r="138" spans="3:25" x14ac:dyDescent="0.3">
      <c r="T138" s="55">
        <v>11</v>
      </c>
      <c r="U138" s="80">
        <f>'OIR - Ingestion m(t)'!D19</f>
        <v>1E-3</v>
      </c>
      <c r="V138" s="33">
        <f t="shared" si="2"/>
        <v>92.636246475985672</v>
      </c>
      <c r="W138" s="32"/>
      <c r="X138" s="32"/>
      <c r="Y138" s="38"/>
    </row>
    <row r="139" spans="3:25" x14ac:dyDescent="0.3">
      <c r="T139" s="55">
        <v>12</v>
      </c>
      <c r="U139" s="80">
        <f>'OIR - Ingestion m(t)'!D20</f>
        <v>8.8999999999999995E-4</v>
      </c>
      <c r="V139" s="33">
        <f t="shared" si="2"/>
        <v>82.446259363627235</v>
      </c>
      <c r="W139" s="32"/>
      <c r="X139" s="32"/>
      <c r="Y139" s="38"/>
    </row>
    <row r="140" spans="3:25" x14ac:dyDescent="0.3">
      <c r="T140" s="68">
        <v>13</v>
      </c>
      <c r="U140" s="81">
        <f>'OIR - Ingestion m(t)'!D21</f>
        <v>8.0000000000000004E-4</v>
      </c>
      <c r="V140" s="64">
        <f t="shared" si="2"/>
        <v>74.108997180788535</v>
      </c>
      <c r="W140" s="66">
        <f>C92</f>
        <v>90</v>
      </c>
      <c r="X140" s="66">
        <f>W140*D92</f>
        <v>273.14748475603852</v>
      </c>
      <c r="Y140" s="67">
        <f>W140/D92</f>
        <v>29.65430930925287</v>
      </c>
    </row>
    <row r="141" spans="3:25" x14ac:dyDescent="0.3">
      <c r="T141" s="55">
        <v>14</v>
      </c>
      <c r="U141" s="80">
        <f>'OIR - Ingestion m(t)'!D22</f>
        <v>7.2000000000000005E-4</v>
      </c>
      <c r="V141" s="33">
        <f t="shared" si="2"/>
        <v>66.698097462709683</v>
      </c>
      <c r="W141" s="32"/>
      <c r="X141" s="32"/>
      <c r="Y141" s="38"/>
    </row>
    <row r="142" spans="3:25" x14ac:dyDescent="0.3">
      <c r="T142" s="55">
        <v>15</v>
      </c>
      <c r="U142" s="80">
        <f>'OIR - Ingestion m(t)'!D23</f>
        <v>6.6E-4</v>
      </c>
      <c r="V142" s="33">
        <f t="shared" si="2"/>
        <v>61.13992267415054</v>
      </c>
      <c r="W142" s="32"/>
      <c r="X142" s="32"/>
      <c r="Y142" s="38"/>
    </row>
    <row r="143" spans="3:25" x14ac:dyDescent="0.3">
      <c r="T143" s="55">
        <v>16</v>
      </c>
      <c r="U143" s="80">
        <f>'OIR - Ingestion m(t)'!D24</f>
        <v>5.9999999999999995E-4</v>
      </c>
      <c r="V143" s="33">
        <f t="shared" si="2"/>
        <v>55.581747885591398</v>
      </c>
      <c r="W143" s="32"/>
      <c r="X143" s="32"/>
      <c r="Y143" s="38"/>
    </row>
    <row r="144" spans="3:25" x14ac:dyDescent="0.3">
      <c r="T144" s="55">
        <v>17</v>
      </c>
      <c r="U144" s="80">
        <f>'OIR - Ingestion m(t)'!D25</f>
        <v>5.5999999999999995E-4</v>
      </c>
      <c r="V144" s="33">
        <f t="shared" si="2"/>
        <v>51.876298026551972</v>
      </c>
      <c r="W144" s="32"/>
      <c r="X144" s="32"/>
      <c r="Y144" s="38"/>
    </row>
    <row r="145" spans="1:25" x14ac:dyDescent="0.3">
      <c r="T145" s="55">
        <v>18</v>
      </c>
      <c r="U145" s="80">
        <f>'OIR - Ingestion m(t)'!D26</f>
        <v>5.1999999999999995E-4</v>
      </c>
      <c r="V145" s="33">
        <f t="shared" si="2"/>
        <v>48.170848167512546</v>
      </c>
      <c r="W145" s="32"/>
      <c r="X145" s="32"/>
      <c r="Y145" s="38"/>
    </row>
    <row r="146" spans="1:25" x14ac:dyDescent="0.3">
      <c r="T146" s="55">
        <v>19</v>
      </c>
      <c r="U146" s="80">
        <f>'OIR - Ingestion m(t)'!D27</f>
        <v>4.8000000000000001E-4</v>
      </c>
      <c r="V146" s="33">
        <f t="shared" si="2"/>
        <v>44.465398308473119</v>
      </c>
      <c r="W146" s="32"/>
      <c r="X146" s="32"/>
      <c r="Y146" s="38"/>
    </row>
    <row r="147" spans="1:25" x14ac:dyDescent="0.3">
      <c r="T147" s="56">
        <v>20</v>
      </c>
      <c r="U147" s="82">
        <f>'OIR - Ingestion m(t)'!D28</f>
        <v>4.4999999999999999E-4</v>
      </c>
      <c r="V147" s="57">
        <f t="shared" si="2"/>
        <v>41.686310914193548</v>
      </c>
      <c r="W147" s="58"/>
      <c r="X147" s="58"/>
      <c r="Y147" s="39"/>
    </row>
    <row r="149" spans="1:25" x14ac:dyDescent="0.3">
      <c r="A149" s="32" t="s">
        <v>91</v>
      </c>
      <c r="B149" s="15" t="s">
        <v>90</v>
      </c>
    </row>
    <row r="151" spans="1:25" x14ac:dyDescent="0.3">
      <c r="A151" s="32" t="s">
        <v>92</v>
      </c>
      <c r="B151" s="15" t="s">
        <v>93</v>
      </c>
    </row>
    <row r="152" spans="1:25" ht="15" thickBot="1" x14ac:dyDescent="0.35"/>
    <row r="153" spans="1:25" x14ac:dyDescent="0.3">
      <c r="A153" s="32" t="s">
        <v>94</v>
      </c>
      <c r="B153" s="85" t="s">
        <v>36</v>
      </c>
      <c r="C153" s="89">
        <f>L74</f>
        <v>92636.246475985667</v>
      </c>
    </row>
    <row r="154" spans="1:25" x14ac:dyDescent="0.3">
      <c r="B154" s="90" t="s">
        <v>38</v>
      </c>
      <c r="C154" s="91">
        <f>L76</f>
        <v>2.2232699154236562</v>
      </c>
    </row>
    <row r="155" spans="1:25" x14ac:dyDescent="0.3">
      <c r="B155" s="90" t="s">
        <v>95</v>
      </c>
      <c r="C155" s="92" t="s">
        <v>39</v>
      </c>
    </row>
    <row r="156" spans="1:25" ht="15" thickBot="1" x14ac:dyDescent="0.35">
      <c r="B156" s="87" t="s">
        <v>74</v>
      </c>
      <c r="C156" s="93">
        <v>0.25</v>
      </c>
    </row>
    <row r="158" spans="1:25" s="3" customFormat="1" x14ac:dyDescent="0.3">
      <c r="A158" s="101"/>
    </row>
  </sheetData>
  <mergeCells count="10">
    <mergeCell ref="S2:V2"/>
    <mergeCell ref="B6:H6"/>
    <mergeCell ref="B7:H7"/>
    <mergeCell ref="B12:H12"/>
    <mergeCell ref="T103:Y103"/>
    <mergeCell ref="T126:Y126"/>
    <mergeCell ref="H24:J24"/>
    <mergeCell ref="L8:U8"/>
    <mergeCell ref="L13:M13"/>
    <mergeCell ref="B21:E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94AA-6738-4489-AEB5-1D82A52E3642}">
  <dimension ref="B2:O282"/>
  <sheetViews>
    <sheetView zoomScaleNormal="100" workbookViewId="0">
      <selection activeCell="E10" sqref="E10"/>
    </sheetView>
  </sheetViews>
  <sheetFormatPr defaultRowHeight="14.4" x14ac:dyDescent="0.3"/>
  <cols>
    <col min="2" max="2" width="16.5546875" customWidth="1"/>
    <col min="3" max="3" width="16.6640625" customWidth="1"/>
    <col min="4" max="4" width="13" customWidth="1"/>
    <col min="10" max="10" width="13.6640625" customWidth="1"/>
    <col min="11" max="11" width="11.6640625" customWidth="1"/>
    <col min="12" max="12" width="8.88671875" customWidth="1"/>
  </cols>
  <sheetData>
    <row r="2" spans="2:15" x14ac:dyDescent="0.3">
      <c r="B2" t="s">
        <v>13</v>
      </c>
      <c r="C2" t="s">
        <v>14</v>
      </c>
      <c r="J2" t="s">
        <v>13</v>
      </c>
      <c r="K2" t="s">
        <v>14</v>
      </c>
    </row>
    <row r="3" spans="2:15" x14ac:dyDescent="0.3">
      <c r="B3" t="s">
        <v>24</v>
      </c>
      <c r="C3" t="s">
        <v>25</v>
      </c>
      <c r="J3" t="s">
        <v>24</v>
      </c>
      <c r="K3" t="s">
        <v>25</v>
      </c>
    </row>
    <row r="4" spans="2:15" x14ac:dyDescent="0.3">
      <c r="B4" t="s">
        <v>17</v>
      </c>
      <c r="C4" t="s">
        <v>26</v>
      </c>
      <c r="J4" t="s">
        <v>17</v>
      </c>
      <c r="K4" t="s">
        <v>99</v>
      </c>
    </row>
    <row r="5" spans="2:15" x14ac:dyDescent="0.3">
      <c r="B5" t="s">
        <v>27</v>
      </c>
      <c r="C5" t="s">
        <v>28</v>
      </c>
      <c r="J5" t="s">
        <v>27</v>
      </c>
      <c r="K5" t="s">
        <v>28</v>
      </c>
    </row>
    <row r="7" spans="2:15" x14ac:dyDescent="0.3">
      <c r="B7" t="s">
        <v>29</v>
      </c>
      <c r="J7" t="s">
        <v>29</v>
      </c>
    </row>
    <row r="8" spans="2:15" x14ac:dyDescent="0.3">
      <c r="B8" t="s">
        <v>30</v>
      </c>
      <c r="C8" t="s">
        <v>31</v>
      </c>
      <c r="D8" t="s">
        <v>32</v>
      </c>
      <c r="J8" t="s">
        <v>30</v>
      </c>
      <c r="K8" t="s">
        <v>31</v>
      </c>
      <c r="L8" t="s">
        <v>32</v>
      </c>
    </row>
    <row r="9" spans="2:15" x14ac:dyDescent="0.3">
      <c r="B9">
        <v>1</v>
      </c>
      <c r="C9" s="2">
        <v>4.7E-2</v>
      </c>
      <c r="D9" s="2">
        <v>0.18</v>
      </c>
      <c r="E9" s="2"/>
      <c r="F9" s="2"/>
      <c r="J9">
        <v>1</v>
      </c>
      <c r="K9" s="2">
        <v>1.8E-3</v>
      </c>
      <c r="L9" s="2">
        <v>0.21</v>
      </c>
      <c r="M9" s="2"/>
      <c r="N9" s="2"/>
      <c r="O9" s="2"/>
    </row>
    <row r="10" spans="2:15" x14ac:dyDescent="0.3">
      <c r="B10">
        <v>2</v>
      </c>
      <c r="C10" s="2">
        <v>1.9E-2</v>
      </c>
      <c r="D10" s="2">
        <v>0.36</v>
      </c>
      <c r="E10" s="2"/>
      <c r="F10" s="2"/>
      <c r="J10">
        <v>2</v>
      </c>
      <c r="K10" s="2">
        <v>7.6000000000000004E-4</v>
      </c>
      <c r="L10" s="2">
        <v>0.47</v>
      </c>
      <c r="M10" s="2"/>
      <c r="N10" s="2"/>
      <c r="O10" s="2"/>
    </row>
    <row r="11" spans="2:15" x14ac:dyDescent="0.3">
      <c r="B11">
        <v>3</v>
      </c>
      <c r="C11" s="2">
        <v>1.2E-2</v>
      </c>
      <c r="D11" s="2">
        <v>0.17</v>
      </c>
      <c r="E11" s="2"/>
      <c r="F11" s="2"/>
      <c r="J11">
        <v>3</v>
      </c>
      <c r="K11" s="2">
        <v>4.8999999999999998E-4</v>
      </c>
      <c r="L11" s="2">
        <v>0.22</v>
      </c>
      <c r="M11" s="2"/>
      <c r="N11" s="2"/>
      <c r="O11" s="2"/>
    </row>
    <row r="12" spans="2:15" x14ac:dyDescent="0.3">
      <c r="B12">
        <v>4</v>
      </c>
      <c r="C12" s="2">
        <v>8.8999999999999999E-3</v>
      </c>
      <c r="D12" s="2">
        <v>5.1999999999999998E-2</v>
      </c>
      <c r="E12" s="2"/>
      <c r="F12" s="2"/>
      <c r="J12">
        <v>4</v>
      </c>
      <c r="K12" s="2">
        <v>3.6000000000000002E-4</v>
      </c>
      <c r="L12" s="2">
        <v>6.6000000000000003E-2</v>
      </c>
      <c r="M12" s="2"/>
      <c r="N12" s="2"/>
      <c r="O12" s="2"/>
    </row>
    <row r="13" spans="2:15" x14ac:dyDescent="0.3">
      <c r="B13">
        <v>5</v>
      </c>
      <c r="C13" s="2">
        <v>7.0000000000000001E-3</v>
      </c>
      <c r="D13" s="2">
        <v>1.4E-2</v>
      </c>
      <c r="E13" s="2"/>
      <c r="F13" s="2"/>
      <c r="J13">
        <v>5</v>
      </c>
      <c r="K13" s="2">
        <v>2.7999999999999998E-4</v>
      </c>
      <c r="L13" s="2">
        <v>1.6E-2</v>
      </c>
      <c r="M13" s="2"/>
      <c r="N13" s="2"/>
      <c r="O13" s="2"/>
    </row>
    <row r="14" spans="2:15" x14ac:dyDescent="0.3">
      <c r="B14">
        <v>6</v>
      </c>
      <c r="C14" s="2">
        <v>5.7000000000000002E-3</v>
      </c>
      <c r="D14" s="2">
        <v>4.7999999999999996E-3</v>
      </c>
      <c r="E14" s="2"/>
      <c r="F14" s="2"/>
      <c r="J14">
        <v>6</v>
      </c>
      <c r="K14" s="2">
        <v>2.3000000000000001E-4</v>
      </c>
      <c r="L14" s="2">
        <v>3.3999999999999998E-3</v>
      </c>
      <c r="M14" s="2"/>
      <c r="N14" s="2"/>
      <c r="O14" s="2"/>
    </row>
    <row r="15" spans="2:15" x14ac:dyDescent="0.3">
      <c r="B15">
        <v>7</v>
      </c>
      <c r="C15" s="2">
        <v>4.7000000000000002E-3</v>
      </c>
      <c r="D15" s="2">
        <v>2.3999999999999998E-3</v>
      </c>
      <c r="E15" s="2"/>
      <c r="F15" s="2"/>
      <c r="J15">
        <v>7</v>
      </c>
      <c r="K15" s="2">
        <v>1.9000000000000001E-4</v>
      </c>
      <c r="L15" s="2">
        <v>7.2000000000000005E-4</v>
      </c>
      <c r="M15" s="2"/>
      <c r="N15" s="2"/>
      <c r="O15" s="2"/>
    </row>
    <row r="16" spans="2:15" x14ac:dyDescent="0.3">
      <c r="B16">
        <v>8</v>
      </c>
      <c r="C16" s="2">
        <v>4.0000000000000001E-3</v>
      </c>
      <c r="D16" s="2">
        <v>1.6999999999999999E-3</v>
      </c>
      <c r="E16" s="2"/>
      <c r="F16" s="2"/>
      <c r="J16">
        <v>8</v>
      </c>
      <c r="K16" s="2">
        <v>1.6000000000000001E-4</v>
      </c>
      <c r="L16" s="2">
        <v>1.8000000000000001E-4</v>
      </c>
      <c r="M16" s="2"/>
      <c r="N16" s="2"/>
      <c r="O16" s="2"/>
    </row>
    <row r="17" spans="2:15" x14ac:dyDescent="0.3">
      <c r="B17">
        <v>9</v>
      </c>
      <c r="C17" s="2">
        <v>3.5000000000000001E-3</v>
      </c>
      <c r="D17" s="2">
        <v>1.2999999999999999E-3</v>
      </c>
      <c r="E17" s="2"/>
      <c r="F17" s="2"/>
      <c r="J17">
        <v>9</v>
      </c>
      <c r="K17" s="2">
        <v>1.3999999999999999E-4</v>
      </c>
      <c r="L17" s="2">
        <v>7.3999999999999996E-5</v>
      </c>
      <c r="M17" s="2"/>
      <c r="N17" s="2"/>
      <c r="O17" s="2"/>
    </row>
    <row r="18" spans="2:15" x14ac:dyDescent="0.3">
      <c r="B18">
        <v>10</v>
      </c>
      <c r="C18" s="2">
        <v>3.0999999999999999E-3</v>
      </c>
      <c r="D18" s="2">
        <v>1.1000000000000001E-3</v>
      </c>
      <c r="E18" s="2"/>
      <c r="F18" s="2"/>
      <c r="J18">
        <v>10</v>
      </c>
      <c r="K18" s="2">
        <v>1.2E-4</v>
      </c>
      <c r="L18" s="2">
        <v>5.0000000000000002E-5</v>
      </c>
      <c r="M18" s="2"/>
      <c r="N18" s="2"/>
      <c r="O18" s="2"/>
    </row>
    <row r="19" spans="2:15" x14ac:dyDescent="0.3">
      <c r="B19">
        <v>11</v>
      </c>
      <c r="C19" s="2">
        <v>2.8E-3</v>
      </c>
      <c r="D19" s="2">
        <v>1E-3</v>
      </c>
      <c r="E19" s="2"/>
      <c r="F19" s="2"/>
      <c r="J19">
        <v>11</v>
      </c>
      <c r="K19" s="2">
        <v>1.1E-4</v>
      </c>
      <c r="L19" s="2">
        <v>4.1E-5</v>
      </c>
      <c r="M19" s="2"/>
      <c r="N19" s="2"/>
      <c r="O19" s="2"/>
    </row>
    <row r="20" spans="2:15" x14ac:dyDescent="0.3">
      <c r="B20">
        <v>12</v>
      </c>
      <c r="C20" s="2">
        <v>2.5000000000000001E-3</v>
      </c>
      <c r="D20" s="2">
        <v>8.8999999999999995E-4</v>
      </c>
      <c r="E20" s="2"/>
      <c r="F20" s="2"/>
      <c r="J20">
        <v>12</v>
      </c>
      <c r="K20" s="2">
        <v>1E-4</v>
      </c>
      <c r="L20" s="2">
        <v>3.6000000000000001E-5</v>
      </c>
      <c r="M20" s="2"/>
      <c r="N20" s="2"/>
      <c r="O20" s="2"/>
    </row>
    <row r="21" spans="2:15" x14ac:dyDescent="0.3">
      <c r="B21">
        <v>13</v>
      </c>
      <c r="C21" s="2">
        <v>2.3E-3</v>
      </c>
      <c r="D21" s="2">
        <v>8.0000000000000004E-4</v>
      </c>
      <c r="E21" s="2"/>
      <c r="F21" s="2"/>
      <c r="J21">
        <v>13</v>
      </c>
      <c r="K21" s="2">
        <v>9.1000000000000003E-5</v>
      </c>
      <c r="L21" s="2">
        <v>3.1999999999999999E-5</v>
      </c>
      <c r="M21" s="2"/>
      <c r="N21" s="2"/>
      <c r="O21" s="2"/>
    </row>
    <row r="22" spans="2:15" x14ac:dyDescent="0.3">
      <c r="B22">
        <v>14</v>
      </c>
      <c r="C22" s="2">
        <v>2.0999999999999999E-3</v>
      </c>
      <c r="D22" s="2">
        <v>7.2000000000000005E-4</v>
      </c>
      <c r="E22" s="2"/>
      <c r="F22" s="2"/>
      <c r="J22">
        <v>14</v>
      </c>
      <c r="K22" s="2">
        <v>8.3999999999999995E-5</v>
      </c>
      <c r="L22" s="2">
        <v>2.9E-5</v>
      </c>
      <c r="M22" s="2"/>
      <c r="N22" s="2"/>
      <c r="O22" s="2"/>
    </row>
    <row r="23" spans="2:15" x14ac:dyDescent="0.3">
      <c r="B23">
        <v>15</v>
      </c>
      <c r="C23" s="2">
        <v>1.9E-3</v>
      </c>
      <c r="D23" s="2">
        <v>6.6E-4</v>
      </c>
      <c r="E23" s="2"/>
      <c r="F23" s="2"/>
      <c r="J23">
        <v>15</v>
      </c>
      <c r="K23" s="2">
        <v>7.7000000000000001E-5</v>
      </c>
      <c r="L23" s="2">
        <v>2.5999999999999998E-5</v>
      </c>
      <c r="M23" s="2"/>
      <c r="N23" s="2"/>
      <c r="O23" s="2"/>
    </row>
    <row r="24" spans="2:15" x14ac:dyDescent="0.3">
      <c r="B24">
        <v>16</v>
      </c>
      <c r="C24" s="2">
        <v>1.8E-3</v>
      </c>
      <c r="D24" s="2">
        <v>5.9999999999999995E-4</v>
      </c>
      <c r="E24" s="2"/>
      <c r="F24" s="2"/>
      <c r="J24">
        <v>16</v>
      </c>
      <c r="K24" s="2">
        <v>7.1000000000000005E-5</v>
      </c>
      <c r="L24" s="2">
        <v>2.4000000000000001E-5</v>
      </c>
      <c r="M24" s="2"/>
      <c r="N24" s="2"/>
      <c r="O24" s="2"/>
    </row>
    <row r="25" spans="2:15" x14ac:dyDescent="0.3">
      <c r="B25">
        <v>17</v>
      </c>
      <c r="C25" s="2">
        <v>1.6000000000000001E-3</v>
      </c>
      <c r="D25" s="2">
        <v>5.5999999999999995E-4</v>
      </c>
      <c r="E25" s="2"/>
      <c r="F25" s="2"/>
      <c r="J25">
        <v>17</v>
      </c>
      <c r="K25" s="2">
        <v>6.6000000000000005E-5</v>
      </c>
      <c r="L25" s="2">
        <v>2.1999999999999999E-5</v>
      </c>
      <c r="M25" s="2"/>
      <c r="N25" s="2"/>
      <c r="O25" s="2"/>
    </row>
    <row r="26" spans="2:15" x14ac:dyDescent="0.3">
      <c r="B26">
        <v>18</v>
      </c>
      <c r="C26" s="2">
        <v>1.5E-3</v>
      </c>
      <c r="D26" s="2">
        <v>5.1999999999999995E-4</v>
      </c>
      <c r="E26" s="2"/>
      <c r="F26" s="2"/>
      <c r="J26">
        <v>18</v>
      </c>
      <c r="K26" s="2">
        <v>6.2000000000000003E-5</v>
      </c>
      <c r="L26" s="2">
        <v>2.0999999999999999E-5</v>
      </c>
      <c r="M26" s="2"/>
      <c r="N26" s="2"/>
      <c r="O26" s="2"/>
    </row>
    <row r="27" spans="2:15" x14ac:dyDescent="0.3">
      <c r="B27">
        <v>19</v>
      </c>
      <c r="C27" s="2">
        <v>1.4E-3</v>
      </c>
      <c r="D27" s="2">
        <v>4.8000000000000001E-4</v>
      </c>
      <c r="E27" s="2"/>
      <c r="F27" s="2"/>
      <c r="J27">
        <v>19</v>
      </c>
      <c r="K27" s="2">
        <v>5.7000000000000003E-5</v>
      </c>
      <c r="L27" s="2">
        <v>1.9000000000000001E-5</v>
      </c>
      <c r="M27" s="2"/>
      <c r="N27" s="2"/>
      <c r="O27" s="2"/>
    </row>
    <row r="28" spans="2:15" x14ac:dyDescent="0.3">
      <c r="B28">
        <v>20</v>
      </c>
      <c r="C28" s="2">
        <v>1.2999999999999999E-3</v>
      </c>
      <c r="D28" s="2">
        <v>4.4999999999999999E-4</v>
      </c>
      <c r="E28" s="2"/>
      <c r="F28" s="2"/>
      <c r="J28">
        <v>20</v>
      </c>
      <c r="K28" s="2">
        <v>5.3999999999999998E-5</v>
      </c>
      <c r="L28" s="2">
        <v>1.8E-5</v>
      </c>
      <c r="M28" s="2"/>
      <c r="N28" s="2"/>
      <c r="O28" s="2"/>
    </row>
    <row r="29" spans="2:15" x14ac:dyDescent="0.3">
      <c r="B29">
        <v>21</v>
      </c>
      <c r="C29" s="2">
        <v>1.1999999999999999E-3</v>
      </c>
      <c r="D29" s="2">
        <v>4.2000000000000002E-4</v>
      </c>
      <c r="E29" s="2"/>
      <c r="F29" s="2"/>
      <c r="J29">
        <v>21</v>
      </c>
      <c r="K29" s="2">
        <v>5.0000000000000002E-5</v>
      </c>
      <c r="L29" s="2">
        <v>1.7E-5</v>
      </c>
      <c r="M29" s="2"/>
      <c r="N29" s="2"/>
      <c r="O29" s="2"/>
    </row>
    <row r="30" spans="2:15" x14ac:dyDescent="0.3">
      <c r="B30">
        <v>22</v>
      </c>
      <c r="C30" s="2">
        <v>1.1999999999999999E-3</v>
      </c>
      <c r="D30" s="2">
        <v>3.8999999999999999E-4</v>
      </c>
      <c r="E30" s="2"/>
      <c r="F30" s="2"/>
      <c r="J30">
        <v>22</v>
      </c>
      <c r="K30" s="2">
        <v>4.6999999999999997E-5</v>
      </c>
      <c r="L30" s="2">
        <v>1.5999999999999999E-5</v>
      </c>
      <c r="M30" s="2"/>
      <c r="N30" s="2"/>
      <c r="O30" s="2"/>
    </row>
    <row r="31" spans="2:15" x14ac:dyDescent="0.3">
      <c r="B31">
        <v>23</v>
      </c>
      <c r="C31" s="2">
        <v>1.1000000000000001E-3</v>
      </c>
      <c r="D31" s="2">
        <v>3.6999999999999999E-4</v>
      </c>
      <c r="E31" s="2"/>
      <c r="F31" s="2"/>
      <c r="J31">
        <v>23</v>
      </c>
      <c r="K31" s="2">
        <v>4.3999999999999999E-5</v>
      </c>
      <c r="L31" s="2">
        <v>1.5E-5</v>
      </c>
      <c r="M31" s="2"/>
      <c r="N31" s="2"/>
      <c r="O31" s="2"/>
    </row>
    <row r="32" spans="2:15" x14ac:dyDescent="0.3">
      <c r="B32">
        <v>24</v>
      </c>
      <c r="C32" s="2">
        <v>1E-3</v>
      </c>
      <c r="D32" s="2">
        <v>3.4000000000000002E-4</v>
      </c>
      <c r="E32" s="2"/>
      <c r="F32" s="2"/>
      <c r="J32">
        <v>24</v>
      </c>
      <c r="K32" s="2">
        <v>4.1E-5</v>
      </c>
      <c r="L32" s="2">
        <v>1.4E-5</v>
      </c>
      <c r="M32" s="2"/>
      <c r="N32" s="2"/>
      <c r="O32" s="2"/>
    </row>
    <row r="33" spans="2:15" x14ac:dyDescent="0.3">
      <c r="B33">
        <v>25</v>
      </c>
      <c r="C33" s="2">
        <v>9.6000000000000002E-4</v>
      </c>
      <c r="D33" s="2">
        <v>3.2000000000000003E-4</v>
      </c>
      <c r="E33" s="2"/>
      <c r="F33" s="2"/>
      <c r="J33">
        <v>25</v>
      </c>
      <c r="K33" s="2">
        <v>3.8999999999999999E-5</v>
      </c>
      <c r="L33" s="2">
        <v>1.2999999999999999E-5</v>
      </c>
      <c r="M33" s="2"/>
      <c r="N33" s="2"/>
      <c r="O33" s="2"/>
    </row>
    <row r="34" spans="2:15" x14ac:dyDescent="0.3">
      <c r="B34">
        <v>26</v>
      </c>
      <c r="C34" s="2">
        <v>8.9999999999999998E-4</v>
      </c>
      <c r="D34" s="2">
        <v>2.9999999999999997E-4</v>
      </c>
      <c r="E34" s="2"/>
      <c r="F34" s="2"/>
      <c r="J34">
        <v>26</v>
      </c>
      <c r="K34" s="2">
        <v>3.6000000000000001E-5</v>
      </c>
      <c r="L34" s="2">
        <v>1.2E-5</v>
      </c>
      <c r="M34" s="2"/>
      <c r="N34" s="2"/>
      <c r="O34" s="2"/>
    </row>
    <row r="35" spans="2:15" x14ac:dyDescent="0.3">
      <c r="B35">
        <v>27</v>
      </c>
      <c r="C35" s="2">
        <v>8.4999999999999995E-4</v>
      </c>
      <c r="D35" s="2">
        <v>2.7999999999999998E-4</v>
      </c>
      <c r="E35" s="2"/>
      <c r="F35" s="2"/>
      <c r="J35">
        <v>27</v>
      </c>
      <c r="K35" s="2">
        <v>3.4E-5</v>
      </c>
      <c r="L35" s="2">
        <v>1.1E-5</v>
      </c>
      <c r="M35" s="2"/>
      <c r="N35" s="2"/>
      <c r="O35" s="2"/>
    </row>
    <row r="36" spans="2:15" x14ac:dyDescent="0.3">
      <c r="B36">
        <v>28</v>
      </c>
      <c r="C36" s="2">
        <v>8.0000000000000004E-4</v>
      </c>
      <c r="D36" s="2">
        <v>2.5999999999999998E-4</v>
      </c>
      <c r="E36" s="2"/>
      <c r="F36" s="2"/>
      <c r="J36">
        <v>28</v>
      </c>
      <c r="K36" s="2">
        <v>3.1999999999999999E-5</v>
      </c>
      <c r="L36" s="2">
        <v>1.1E-5</v>
      </c>
      <c r="M36" s="2"/>
      <c r="N36" s="2"/>
      <c r="O36" s="2"/>
    </row>
    <row r="37" spans="2:15" x14ac:dyDescent="0.3">
      <c r="B37">
        <v>29</v>
      </c>
      <c r="C37" s="2">
        <v>7.5000000000000002E-4</v>
      </c>
      <c r="D37" s="2">
        <v>2.5000000000000001E-4</v>
      </c>
      <c r="E37" s="2"/>
      <c r="F37" s="2"/>
      <c r="J37">
        <v>29</v>
      </c>
      <c r="K37" s="2">
        <v>3.0000000000000001E-5</v>
      </c>
      <c r="L37" s="2">
        <v>1.0000000000000001E-5</v>
      </c>
      <c r="M37" s="2"/>
      <c r="N37" s="2"/>
      <c r="O37" s="2"/>
    </row>
    <row r="38" spans="2:15" x14ac:dyDescent="0.3">
      <c r="B38">
        <v>30</v>
      </c>
      <c r="C38" s="2">
        <v>7.1000000000000002E-4</v>
      </c>
      <c r="D38" s="2">
        <v>2.3000000000000001E-4</v>
      </c>
      <c r="E38" s="2"/>
      <c r="F38" s="2"/>
      <c r="J38">
        <v>30</v>
      </c>
      <c r="K38" s="2">
        <v>2.8E-5</v>
      </c>
      <c r="L38" s="2">
        <v>9.3999999999999998E-6</v>
      </c>
      <c r="M38" s="2"/>
      <c r="N38" s="2"/>
      <c r="O38" s="2"/>
    </row>
    <row r="39" spans="2:15" x14ac:dyDescent="0.3">
      <c r="B39">
        <v>31</v>
      </c>
      <c r="C39" s="2">
        <v>6.6E-4</v>
      </c>
      <c r="D39" s="2">
        <v>2.2000000000000001E-4</v>
      </c>
      <c r="E39" s="2"/>
      <c r="F39" s="2"/>
      <c r="J39">
        <v>31</v>
      </c>
      <c r="K39" s="2">
        <v>2.6999999999999999E-5</v>
      </c>
      <c r="L39" s="2">
        <v>8.8000000000000004E-6</v>
      </c>
      <c r="M39" s="2"/>
      <c r="N39" s="2"/>
      <c r="O39" s="2"/>
    </row>
    <row r="40" spans="2:15" x14ac:dyDescent="0.3">
      <c r="B40">
        <v>32</v>
      </c>
      <c r="C40" s="2">
        <v>6.3000000000000003E-4</v>
      </c>
      <c r="D40" s="2">
        <v>2.1000000000000001E-4</v>
      </c>
      <c r="E40" s="2"/>
      <c r="F40" s="2"/>
      <c r="J40">
        <v>32</v>
      </c>
      <c r="K40" s="2">
        <v>2.5000000000000001E-5</v>
      </c>
      <c r="L40" s="2">
        <v>8.3000000000000002E-6</v>
      </c>
      <c r="M40" s="2"/>
      <c r="N40" s="2"/>
      <c r="O40" s="2"/>
    </row>
    <row r="41" spans="2:15" x14ac:dyDescent="0.3">
      <c r="B41">
        <v>33</v>
      </c>
      <c r="C41" s="2">
        <v>5.9000000000000003E-4</v>
      </c>
      <c r="D41" s="2">
        <v>2.0000000000000001E-4</v>
      </c>
      <c r="E41" s="2"/>
      <c r="F41" s="2"/>
      <c r="J41">
        <v>33</v>
      </c>
      <c r="K41" s="2">
        <v>2.4000000000000001E-5</v>
      </c>
      <c r="L41" s="2">
        <v>7.7999999999999999E-6</v>
      </c>
      <c r="M41" s="2"/>
      <c r="N41" s="2"/>
      <c r="O41" s="2"/>
    </row>
    <row r="42" spans="2:15" x14ac:dyDescent="0.3">
      <c r="B42">
        <v>34</v>
      </c>
      <c r="C42" s="2">
        <v>5.5999999999999995E-4</v>
      </c>
      <c r="D42" s="2">
        <v>1.8000000000000001E-4</v>
      </c>
      <c r="E42" s="2"/>
      <c r="F42" s="2"/>
      <c r="J42">
        <v>34</v>
      </c>
      <c r="K42" s="2">
        <v>2.1999999999999999E-5</v>
      </c>
      <c r="L42" s="2">
        <v>7.4000000000000003E-6</v>
      </c>
      <c r="M42" s="2"/>
      <c r="N42" s="2"/>
      <c r="O42" s="2"/>
    </row>
    <row r="43" spans="2:15" x14ac:dyDescent="0.3">
      <c r="B43">
        <v>35</v>
      </c>
      <c r="C43" s="2">
        <v>5.2999999999999998E-4</v>
      </c>
      <c r="D43" s="2">
        <v>1.7000000000000001E-4</v>
      </c>
      <c r="E43" s="2"/>
      <c r="F43" s="2"/>
      <c r="J43">
        <v>35</v>
      </c>
      <c r="K43" s="2">
        <v>2.0999999999999999E-5</v>
      </c>
      <c r="L43" s="2">
        <v>6.9E-6</v>
      </c>
      <c r="M43" s="2"/>
      <c r="N43" s="2"/>
      <c r="O43" s="2"/>
    </row>
    <row r="44" spans="2:15" x14ac:dyDescent="0.3">
      <c r="B44">
        <v>36</v>
      </c>
      <c r="C44" s="2">
        <v>5.0000000000000001E-4</v>
      </c>
      <c r="D44" s="2">
        <v>1.6000000000000001E-4</v>
      </c>
      <c r="E44" s="2"/>
      <c r="F44" s="2"/>
      <c r="J44">
        <v>36</v>
      </c>
      <c r="K44" s="2">
        <v>2.0000000000000002E-5</v>
      </c>
      <c r="L44" s="2">
        <v>6.6000000000000003E-6</v>
      </c>
      <c r="M44" s="2"/>
      <c r="N44" s="2"/>
      <c r="O44" s="2"/>
    </row>
    <row r="45" spans="2:15" x14ac:dyDescent="0.3">
      <c r="B45">
        <v>37</v>
      </c>
      <c r="C45" s="2">
        <v>4.6999999999999999E-4</v>
      </c>
      <c r="D45" s="2">
        <v>1.4999999999999999E-4</v>
      </c>
      <c r="E45" s="2"/>
      <c r="F45" s="2"/>
      <c r="J45">
        <v>37</v>
      </c>
      <c r="K45" s="2">
        <v>1.9000000000000001E-5</v>
      </c>
      <c r="L45" s="2">
        <v>6.1999999999999999E-6</v>
      </c>
      <c r="M45" s="2"/>
      <c r="N45" s="2"/>
      <c r="O45" s="2"/>
    </row>
    <row r="46" spans="2:15" x14ac:dyDescent="0.3">
      <c r="B46">
        <v>38</v>
      </c>
      <c r="C46" s="2">
        <v>4.4000000000000002E-4</v>
      </c>
      <c r="D46" s="2">
        <v>1.4999999999999999E-4</v>
      </c>
      <c r="E46" s="2"/>
      <c r="F46" s="2"/>
      <c r="J46">
        <v>38</v>
      </c>
      <c r="K46" s="2">
        <v>1.8E-5</v>
      </c>
      <c r="L46" s="2">
        <v>5.8000000000000004E-6</v>
      </c>
      <c r="M46" s="2"/>
      <c r="N46" s="2"/>
      <c r="O46" s="2"/>
    </row>
    <row r="47" spans="2:15" x14ac:dyDescent="0.3">
      <c r="B47">
        <v>39</v>
      </c>
      <c r="C47" s="2">
        <v>4.2000000000000002E-4</v>
      </c>
      <c r="D47" s="2">
        <v>1.3999999999999999E-4</v>
      </c>
      <c r="E47" s="2"/>
      <c r="F47" s="2"/>
      <c r="J47">
        <v>39</v>
      </c>
      <c r="K47" s="2">
        <v>1.7E-5</v>
      </c>
      <c r="L47" s="2">
        <v>5.4999999999999999E-6</v>
      </c>
      <c r="M47" s="2"/>
      <c r="N47" s="2"/>
      <c r="O47" s="2"/>
    </row>
    <row r="48" spans="2:15" x14ac:dyDescent="0.3">
      <c r="B48">
        <v>40</v>
      </c>
      <c r="C48" s="2">
        <v>4.0000000000000002E-4</v>
      </c>
      <c r="D48" s="2">
        <v>1.2999999999999999E-4</v>
      </c>
      <c r="E48" s="2"/>
      <c r="F48" s="2"/>
      <c r="J48">
        <v>40</v>
      </c>
      <c r="K48" s="2">
        <v>1.5999999999999999E-5</v>
      </c>
      <c r="L48" s="2">
        <v>5.2000000000000002E-6</v>
      </c>
      <c r="M48" s="2"/>
      <c r="N48" s="2"/>
      <c r="O48" s="2"/>
    </row>
    <row r="49" spans="2:15" x14ac:dyDescent="0.3">
      <c r="B49">
        <v>41</v>
      </c>
      <c r="C49" s="2">
        <v>3.8000000000000002E-4</v>
      </c>
      <c r="D49" s="2">
        <v>1.2E-4</v>
      </c>
      <c r="E49" s="2"/>
      <c r="F49" s="2"/>
      <c r="J49">
        <v>41</v>
      </c>
      <c r="K49" s="2">
        <v>1.5E-5</v>
      </c>
      <c r="L49" s="2">
        <v>4.8999999999999997E-6</v>
      </c>
      <c r="M49" s="2"/>
      <c r="N49" s="2"/>
      <c r="O49" s="2"/>
    </row>
    <row r="50" spans="2:15" x14ac:dyDescent="0.3">
      <c r="B50">
        <v>42</v>
      </c>
      <c r="C50" s="2">
        <v>3.6000000000000002E-4</v>
      </c>
      <c r="D50" s="2">
        <v>1.2E-4</v>
      </c>
      <c r="E50" s="2"/>
      <c r="F50" s="2"/>
      <c r="J50">
        <v>42</v>
      </c>
      <c r="K50" s="2">
        <v>1.4E-5</v>
      </c>
      <c r="L50" s="2">
        <v>4.6999999999999999E-6</v>
      </c>
      <c r="M50" s="2"/>
      <c r="N50" s="2"/>
      <c r="O50" s="2"/>
    </row>
    <row r="51" spans="2:15" x14ac:dyDescent="0.3">
      <c r="B51">
        <v>43</v>
      </c>
      <c r="C51" s="2">
        <v>3.4000000000000002E-4</v>
      </c>
      <c r="D51" s="2">
        <v>1.1E-4</v>
      </c>
      <c r="E51" s="2"/>
      <c r="F51" s="2"/>
      <c r="J51">
        <v>43</v>
      </c>
      <c r="K51" s="2">
        <v>1.4E-5</v>
      </c>
      <c r="L51" s="2">
        <v>4.4000000000000002E-6</v>
      </c>
      <c r="M51" s="2"/>
      <c r="N51" s="2"/>
      <c r="O51" s="2"/>
    </row>
    <row r="52" spans="2:15" x14ac:dyDescent="0.3">
      <c r="B52">
        <v>44</v>
      </c>
      <c r="C52" s="2">
        <v>3.2000000000000003E-4</v>
      </c>
      <c r="D52" s="2">
        <v>1.1E-4</v>
      </c>
      <c r="E52" s="2"/>
      <c r="F52" s="2"/>
      <c r="J52">
        <v>44</v>
      </c>
      <c r="K52" s="2">
        <v>1.2999999999999999E-5</v>
      </c>
      <c r="L52" s="2">
        <v>4.1999999999999996E-6</v>
      </c>
      <c r="M52" s="2"/>
      <c r="N52" s="2"/>
      <c r="O52" s="2"/>
    </row>
    <row r="53" spans="2:15" x14ac:dyDescent="0.3">
      <c r="B53">
        <v>45</v>
      </c>
      <c r="C53" s="2">
        <v>3.1E-4</v>
      </c>
      <c r="D53" s="2">
        <v>1E-4</v>
      </c>
      <c r="E53" s="2"/>
      <c r="F53" s="2"/>
      <c r="J53">
        <v>45</v>
      </c>
      <c r="K53" s="2">
        <v>1.2E-5</v>
      </c>
      <c r="L53" s="2">
        <v>3.9999999999999998E-6</v>
      </c>
      <c r="M53" s="2"/>
      <c r="N53" s="2"/>
      <c r="O53" s="2"/>
    </row>
    <row r="54" spans="2:15" x14ac:dyDescent="0.3">
      <c r="B54">
        <v>46</v>
      </c>
      <c r="C54" s="2">
        <v>2.9E-4</v>
      </c>
      <c r="D54" s="2">
        <v>9.5000000000000005E-5</v>
      </c>
      <c r="E54" s="2"/>
      <c r="F54" s="2"/>
      <c r="J54">
        <v>46</v>
      </c>
      <c r="K54" s="2">
        <v>1.2E-5</v>
      </c>
      <c r="L54" s="2">
        <v>3.8E-6</v>
      </c>
      <c r="M54" s="2"/>
      <c r="N54" s="2"/>
      <c r="O54" s="2"/>
    </row>
    <row r="55" spans="2:15" x14ac:dyDescent="0.3">
      <c r="B55">
        <v>47</v>
      </c>
      <c r="C55" s="2">
        <v>2.7999999999999998E-4</v>
      </c>
      <c r="D55" s="2">
        <v>9.0000000000000006E-5</v>
      </c>
      <c r="E55" s="2"/>
      <c r="F55" s="2"/>
      <c r="J55">
        <v>47</v>
      </c>
      <c r="K55" s="2">
        <v>1.1E-5</v>
      </c>
      <c r="L55" s="2">
        <v>3.5999999999999998E-6</v>
      </c>
      <c r="M55" s="2"/>
      <c r="N55" s="2"/>
      <c r="O55" s="2"/>
    </row>
    <row r="56" spans="2:15" x14ac:dyDescent="0.3">
      <c r="B56">
        <v>48</v>
      </c>
      <c r="C56" s="2">
        <v>2.5999999999999998E-4</v>
      </c>
      <c r="D56" s="2">
        <v>8.6000000000000003E-5</v>
      </c>
      <c r="E56" s="2"/>
      <c r="F56" s="2"/>
      <c r="J56">
        <v>48</v>
      </c>
      <c r="K56" s="2">
        <v>1.1E-5</v>
      </c>
      <c r="L56" s="2">
        <v>3.4000000000000001E-6</v>
      </c>
      <c r="M56" s="2"/>
      <c r="N56" s="2"/>
      <c r="O56" s="2"/>
    </row>
    <row r="57" spans="2:15" x14ac:dyDescent="0.3">
      <c r="B57">
        <v>49</v>
      </c>
      <c r="C57" s="2">
        <v>2.5000000000000001E-4</v>
      </c>
      <c r="D57" s="2">
        <v>8.2000000000000001E-5</v>
      </c>
      <c r="E57" s="2"/>
      <c r="F57" s="2"/>
      <c r="J57">
        <v>49</v>
      </c>
      <c r="K57" s="2">
        <v>1.0000000000000001E-5</v>
      </c>
      <c r="L57" s="2">
        <v>3.3000000000000002E-6</v>
      </c>
      <c r="M57" s="2"/>
      <c r="N57" s="2"/>
      <c r="O57" s="2"/>
    </row>
    <row r="58" spans="2:15" x14ac:dyDescent="0.3">
      <c r="B58">
        <v>50</v>
      </c>
      <c r="C58" s="2">
        <v>2.4000000000000001E-4</v>
      </c>
      <c r="D58" s="2">
        <v>7.7999999999999999E-5</v>
      </c>
      <c r="E58" s="2"/>
      <c r="F58" s="2"/>
      <c r="J58">
        <v>50</v>
      </c>
      <c r="K58" s="2">
        <v>9.7000000000000003E-6</v>
      </c>
      <c r="L58" s="2">
        <v>3.1E-6</v>
      </c>
      <c r="M58" s="2"/>
      <c r="N58" s="2"/>
      <c r="O58" s="2"/>
    </row>
    <row r="59" spans="2:15" x14ac:dyDescent="0.3">
      <c r="B59">
        <v>51</v>
      </c>
      <c r="C59" s="2">
        <v>2.3000000000000001E-4</v>
      </c>
      <c r="D59" s="2">
        <v>7.4999999999999993E-5</v>
      </c>
      <c r="E59" s="2"/>
      <c r="F59" s="2"/>
      <c r="J59">
        <v>51</v>
      </c>
      <c r="K59" s="2">
        <v>9.2E-6</v>
      </c>
      <c r="L59" s="2">
        <v>3.0000000000000001E-6</v>
      </c>
      <c r="M59" s="2"/>
      <c r="N59" s="2"/>
      <c r="O59" s="2"/>
    </row>
    <row r="60" spans="2:15" x14ac:dyDescent="0.3">
      <c r="B60">
        <v>52</v>
      </c>
      <c r="C60" s="2">
        <v>2.2000000000000001E-4</v>
      </c>
      <c r="D60" s="2">
        <v>7.1000000000000005E-5</v>
      </c>
      <c r="E60" s="2"/>
      <c r="F60" s="2"/>
      <c r="J60">
        <v>52</v>
      </c>
      <c r="K60" s="2">
        <v>8.8000000000000004E-6</v>
      </c>
      <c r="L60" s="2">
        <v>2.9000000000000002E-6</v>
      </c>
      <c r="M60" s="2"/>
      <c r="N60" s="2"/>
      <c r="O60" s="2"/>
    </row>
    <row r="61" spans="2:15" x14ac:dyDescent="0.3">
      <c r="B61">
        <v>53</v>
      </c>
      <c r="C61" s="2">
        <v>2.1000000000000001E-4</v>
      </c>
      <c r="D61" s="2">
        <v>6.7999999999999999E-5</v>
      </c>
      <c r="E61" s="2"/>
      <c r="F61" s="2"/>
      <c r="J61">
        <v>53</v>
      </c>
      <c r="K61" s="2">
        <v>8.4999999999999999E-6</v>
      </c>
      <c r="L61" s="2">
        <v>2.7E-6</v>
      </c>
      <c r="M61" s="2"/>
      <c r="N61" s="2"/>
      <c r="O61" s="2"/>
    </row>
    <row r="62" spans="2:15" x14ac:dyDescent="0.3">
      <c r="B62">
        <v>54</v>
      </c>
      <c r="C62" s="2">
        <v>2.0000000000000001E-4</v>
      </c>
      <c r="D62" s="2">
        <v>6.4999999999999994E-5</v>
      </c>
      <c r="E62" s="2"/>
      <c r="F62" s="2"/>
      <c r="J62">
        <v>54</v>
      </c>
      <c r="K62" s="2">
        <v>8.1000000000000004E-6</v>
      </c>
      <c r="L62" s="2">
        <v>2.6000000000000001E-6</v>
      </c>
      <c r="M62" s="2"/>
      <c r="N62" s="2"/>
      <c r="O62" s="2"/>
    </row>
    <row r="63" spans="2:15" x14ac:dyDescent="0.3">
      <c r="B63">
        <v>55</v>
      </c>
      <c r="C63" s="2">
        <v>1.9000000000000001E-4</v>
      </c>
      <c r="D63" s="2">
        <v>6.3E-5</v>
      </c>
      <c r="E63" s="2"/>
      <c r="F63" s="2"/>
      <c r="J63">
        <v>55</v>
      </c>
      <c r="K63" s="2">
        <v>7.7999999999999999E-6</v>
      </c>
      <c r="L63" s="2">
        <v>2.5000000000000002E-6</v>
      </c>
      <c r="M63" s="2"/>
      <c r="N63" s="2"/>
      <c r="O63" s="2"/>
    </row>
    <row r="64" spans="2:15" x14ac:dyDescent="0.3">
      <c r="B64">
        <v>56</v>
      </c>
      <c r="C64" s="2">
        <v>1.9000000000000001E-4</v>
      </c>
      <c r="D64" s="2">
        <v>6.0000000000000002E-5</v>
      </c>
      <c r="E64" s="2"/>
      <c r="F64" s="2"/>
      <c r="J64">
        <v>56</v>
      </c>
      <c r="K64" s="2">
        <v>7.5000000000000002E-6</v>
      </c>
      <c r="L64" s="2">
        <v>2.3999999999999999E-6</v>
      </c>
      <c r="M64" s="2"/>
      <c r="N64" s="2"/>
      <c r="O64" s="2"/>
    </row>
    <row r="65" spans="2:15" x14ac:dyDescent="0.3">
      <c r="B65">
        <v>57</v>
      </c>
      <c r="C65" s="2">
        <v>1.8000000000000001E-4</v>
      </c>
      <c r="D65" s="2">
        <v>5.8E-5</v>
      </c>
      <c r="E65" s="2"/>
      <c r="F65" s="2"/>
      <c r="J65">
        <v>57</v>
      </c>
      <c r="K65" s="2">
        <v>7.1999999999999997E-6</v>
      </c>
      <c r="L65" s="2">
        <v>2.3E-6</v>
      </c>
      <c r="M65" s="2"/>
      <c r="N65" s="2"/>
      <c r="O65" s="2"/>
    </row>
    <row r="66" spans="2:15" x14ac:dyDescent="0.3">
      <c r="B66">
        <v>58</v>
      </c>
      <c r="C66" s="2">
        <v>1.7000000000000001E-4</v>
      </c>
      <c r="D66" s="2">
        <v>5.5000000000000002E-5</v>
      </c>
      <c r="E66" s="2"/>
      <c r="F66" s="2"/>
      <c r="J66">
        <v>58</v>
      </c>
      <c r="K66" s="2">
        <v>6.9E-6</v>
      </c>
      <c r="L66" s="2">
        <v>2.2000000000000001E-6</v>
      </c>
      <c r="M66" s="2"/>
      <c r="N66" s="2"/>
      <c r="O66" s="2"/>
    </row>
    <row r="67" spans="2:15" x14ac:dyDescent="0.3">
      <c r="B67">
        <v>59</v>
      </c>
      <c r="C67" s="2">
        <v>1.7000000000000001E-4</v>
      </c>
      <c r="D67" s="2">
        <v>5.3000000000000001E-5</v>
      </c>
      <c r="E67" s="2"/>
      <c r="F67" s="2"/>
      <c r="J67">
        <v>59</v>
      </c>
      <c r="K67" s="2">
        <v>6.7000000000000002E-6</v>
      </c>
      <c r="L67" s="2">
        <v>2.0999999999999998E-6</v>
      </c>
      <c r="M67" s="2"/>
      <c r="N67" s="2"/>
      <c r="O67" s="2"/>
    </row>
    <row r="68" spans="2:15" x14ac:dyDescent="0.3">
      <c r="B68">
        <v>60</v>
      </c>
      <c r="C68" s="2">
        <v>1.6000000000000001E-4</v>
      </c>
      <c r="D68" s="2">
        <v>5.1E-5</v>
      </c>
      <c r="E68" s="2"/>
      <c r="F68" s="2"/>
      <c r="J68">
        <v>60</v>
      </c>
      <c r="K68" s="2">
        <v>6.3999999999999997E-6</v>
      </c>
      <c r="L68" s="2">
        <v>2.0999999999999998E-6</v>
      </c>
      <c r="M68" s="2"/>
      <c r="N68" s="2"/>
      <c r="O68" s="2"/>
    </row>
    <row r="69" spans="2:15" x14ac:dyDescent="0.3">
      <c r="B69">
        <v>61</v>
      </c>
      <c r="C69" s="2">
        <v>1.6000000000000001E-4</v>
      </c>
      <c r="D69" s="2">
        <v>5.0000000000000002E-5</v>
      </c>
      <c r="E69" s="2"/>
      <c r="F69" s="2"/>
      <c r="J69">
        <v>61</v>
      </c>
      <c r="K69" s="2">
        <v>6.1999999999999999E-6</v>
      </c>
      <c r="L69" s="2">
        <v>1.9999999999999999E-6</v>
      </c>
      <c r="M69" s="2"/>
      <c r="N69" s="2"/>
      <c r="O69" s="2"/>
    </row>
    <row r="70" spans="2:15" x14ac:dyDescent="0.3">
      <c r="B70">
        <v>62</v>
      </c>
      <c r="C70" s="2">
        <v>1.4999999999999999E-4</v>
      </c>
      <c r="D70" s="2">
        <v>4.8000000000000001E-5</v>
      </c>
      <c r="E70" s="2"/>
      <c r="F70" s="2"/>
      <c r="J70">
        <v>62</v>
      </c>
      <c r="K70" s="2">
        <v>6.0000000000000002E-6</v>
      </c>
      <c r="L70" s="2">
        <v>1.9E-6</v>
      </c>
      <c r="M70" s="2"/>
      <c r="N70" s="2"/>
      <c r="O70" s="2"/>
    </row>
    <row r="71" spans="2:15" x14ac:dyDescent="0.3">
      <c r="B71">
        <v>63</v>
      </c>
      <c r="C71" s="2">
        <v>1.4999999999999999E-4</v>
      </c>
      <c r="D71" s="2">
        <v>4.6E-5</v>
      </c>
      <c r="E71" s="2"/>
      <c r="F71" s="2"/>
      <c r="J71">
        <v>63</v>
      </c>
      <c r="K71" s="2">
        <v>5.8000000000000004E-6</v>
      </c>
      <c r="L71" s="2">
        <v>1.9E-6</v>
      </c>
      <c r="M71" s="2"/>
      <c r="N71" s="2"/>
      <c r="O71" s="2"/>
    </row>
    <row r="72" spans="2:15" x14ac:dyDescent="0.3">
      <c r="B72">
        <v>64</v>
      </c>
      <c r="C72" s="2">
        <v>1.3999999999999999E-4</v>
      </c>
      <c r="D72" s="2">
        <v>4.5000000000000003E-5</v>
      </c>
      <c r="E72" s="2"/>
      <c r="F72" s="2"/>
      <c r="J72">
        <v>64</v>
      </c>
      <c r="K72" s="2">
        <v>5.5999999999999997E-6</v>
      </c>
      <c r="L72" s="2">
        <v>1.7999999999999999E-6</v>
      </c>
      <c r="M72" s="2"/>
      <c r="N72" s="2"/>
      <c r="O72" s="2"/>
    </row>
    <row r="73" spans="2:15" x14ac:dyDescent="0.3">
      <c r="B73">
        <v>65</v>
      </c>
      <c r="C73" s="2">
        <v>1.3999999999999999E-4</v>
      </c>
      <c r="D73" s="2">
        <v>4.3000000000000002E-5</v>
      </c>
      <c r="E73" s="2"/>
      <c r="F73" s="2"/>
      <c r="J73">
        <v>65</v>
      </c>
      <c r="K73" s="2">
        <v>5.4999999999999999E-6</v>
      </c>
      <c r="L73" s="2">
        <v>1.7E-6</v>
      </c>
      <c r="M73" s="2"/>
      <c r="N73" s="2"/>
      <c r="O73" s="2"/>
    </row>
    <row r="74" spans="2:15" x14ac:dyDescent="0.3">
      <c r="B74">
        <v>66</v>
      </c>
      <c r="C74" s="2">
        <v>1.2999999999999999E-4</v>
      </c>
      <c r="D74" s="2">
        <v>4.1999999999999998E-5</v>
      </c>
      <c r="E74" s="2"/>
      <c r="F74" s="2"/>
      <c r="J74">
        <v>66</v>
      </c>
      <c r="K74" s="2">
        <v>5.3000000000000001E-6</v>
      </c>
      <c r="L74" s="2">
        <v>1.7E-6</v>
      </c>
      <c r="M74" s="2"/>
      <c r="N74" s="2"/>
      <c r="O74" s="2"/>
    </row>
    <row r="75" spans="2:15" x14ac:dyDescent="0.3">
      <c r="B75">
        <v>67</v>
      </c>
      <c r="C75" s="2">
        <v>1.2999999999999999E-4</v>
      </c>
      <c r="D75" s="2">
        <v>4.1E-5</v>
      </c>
      <c r="E75" s="2"/>
      <c r="F75" s="2"/>
      <c r="J75">
        <v>67</v>
      </c>
      <c r="K75" s="2">
        <v>5.2000000000000002E-6</v>
      </c>
      <c r="L75" s="2">
        <v>1.5999999999999999E-6</v>
      </c>
      <c r="M75" s="2"/>
      <c r="N75" s="2"/>
      <c r="O75" s="2"/>
    </row>
    <row r="76" spans="2:15" x14ac:dyDescent="0.3">
      <c r="B76">
        <v>68</v>
      </c>
      <c r="C76" s="2">
        <v>1.2999999999999999E-4</v>
      </c>
      <c r="D76" s="2">
        <v>4.0000000000000003E-5</v>
      </c>
      <c r="E76" s="2"/>
      <c r="F76" s="2"/>
      <c r="J76">
        <v>68</v>
      </c>
      <c r="K76" s="2">
        <v>5.0000000000000004E-6</v>
      </c>
      <c r="L76" s="2">
        <v>1.5999999999999999E-6</v>
      </c>
      <c r="M76" s="2"/>
      <c r="N76" s="2"/>
      <c r="O76" s="2"/>
    </row>
    <row r="77" spans="2:15" x14ac:dyDescent="0.3">
      <c r="B77">
        <v>69</v>
      </c>
      <c r="C77" s="2">
        <v>1.2E-4</v>
      </c>
      <c r="D77" s="2">
        <v>3.8000000000000002E-5</v>
      </c>
      <c r="E77" s="2"/>
      <c r="F77" s="2"/>
      <c r="J77">
        <v>69</v>
      </c>
      <c r="K77" s="2">
        <v>4.8999999999999997E-6</v>
      </c>
      <c r="L77" s="2">
        <v>1.5E-6</v>
      </c>
      <c r="M77" s="2"/>
      <c r="N77" s="2"/>
      <c r="O77" s="2"/>
    </row>
    <row r="78" spans="2:15" x14ac:dyDescent="0.3">
      <c r="B78">
        <v>70</v>
      </c>
      <c r="C78" s="2">
        <v>1.2E-4</v>
      </c>
      <c r="D78" s="2">
        <v>3.6999999999999998E-5</v>
      </c>
      <c r="E78" s="2"/>
      <c r="F78" s="2"/>
      <c r="J78">
        <v>70</v>
      </c>
      <c r="K78" s="2">
        <v>4.6999999999999999E-6</v>
      </c>
      <c r="L78" s="2">
        <v>1.5E-6</v>
      </c>
      <c r="M78" s="2"/>
      <c r="N78" s="2"/>
      <c r="O78" s="2"/>
    </row>
    <row r="79" spans="2:15" x14ac:dyDescent="0.3">
      <c r="B79">
        <v>71</v>
      </c>
      <c r="C79" s="2">
        <v>1.2E-4</v>
      </c>
      <c r="D79" s="2">
        <v>3.6000000000000001E-5</v>
      </c>
      <c r="E79" s="2"/>
      <c r="F79" s="2"/>
      <c r="J79">
        <v>71</v>
      </c>
      <c r="K79" s="2">
        <v>4.6E-6</v>
      </c>
      <c r="L79" s="2">
        <v>1.5E-6</v>
      </c>
      <c r="M79" s="2"/>
      <c r="N79" s="2"/>
      <c r="O79" s="2"/>
    </row>
    <row r="80" spans="2:15" x14ac:dyDescent="0.3">
      <c r="B80">
        <v>72</v>
      </c>
      <c r="C80" s="2">
        <v>1.1E-4</v>
      </c>
      <c r="D80" s="2">
        <v>3.4999999999999997E-5</v>
      </c>
      <c r="E80" s="2"/>
      <c r="F80" s="2"/>
      <c r="J80">
        <v>72</v>
      </c>
      <c r="K80" s="2">
        <v>4.5000000000000001E-6</v>
      </c>
      <c r="L80" s="2">
        <v>1.3999999999999999E-6</v>
      </c>
      <c r="M80" s="2"/>
      <c r="N80" s="2"/>
      <c r="O80" s="2"/>
    </row>
    <row r="81" spans="2:15" x14ac:dyDescent="0.3">
      <c r="B81">
        <v>73</v>
      </c>
      <c r="C81" s="2">
        <v>1.1E-4</v>
      </c>
      <c r="D81" s="2">
        <v>3.4999999999999997E-5</v>
      </c>
      <c r="E81" s="2"/>
      <c r="F81" s="2"/>
      <c r="J81">
        <v>73</v>
      </c>
      <c r="K81" s="2">
        <v>4.4000000000000002E-6</v>
      </c>
      <c r="L81" s="2">
        <v>1.3999999999999999E-6</v>
      </c>
      <c r="M81" s="2"/>
      <c r="N81" s="2"/>
      <c r="O81" s="2"/>
    </row>
    <row r="82" spans="2:15" x14ac:dyDescent="0.3">
      <c r="B82">
        <v>74</v>
      </c>
      <c r="C82" s="2">
        <v>1.1E-4</v>
      </c>
      <c r="D82" s="2">
        <v>3.4E-5</v>
      </c>
      <c r="E82" s="2"/>
      <c r="F82" s="2"/>
      <c r="J82">
        <v>74</v>
      </c>
      <c r="K82" s="2">
        <v>4.3000000000000003E-6</v>
      </c>
      <c r="L82" s="2">
        <v>1.3999999999999999E-6</v>
      </c>
      <c r="M82" s="2"/>
      <c r="N82" s="2"/>
      <c r="O82" s="2"/>
    </row>
    <row r="83" spans="2:15" x14ac:dyDescent="0.3">
      <c r="B83">
        <v>75</v>
      </c>
      <c r="C83" s="2">
        <v>1.1E-4</v>
      </c>
      <c r="D83" s="2">
        <v>3.3000000000000003E-5</v>
      </c>
      <c r="E83" s="2"/>
      <c r="F83" s="2"/>
      <c r="J83">
        <v>75</v>
      </c>
      <c r="K83" s="2">
        <v>4.1999999999999996E-6</v>
      </c>
      <c r="L83" s="2">
        <v>1.3E-6</v>
      </c>
      <c r="M83" s="2"/>
      <c r="N83" s="2"/>
      <c r="O83" s="2"/>
    </row>
    <row r="84" spans="2:15" x14ac:dyDescent="0.3">
      <c r="B84">
        <v>76</v>
      </c>
      <c r="C84" s="2">
        <v>1E-4</v>
      </c>
      <c r="D84" s="2">
        <v>3.1999999999999999E-5</v>
      </c>
      <c r="E84" s="2"/>
      <c r="F84" s="2"/>
      <c r="J84">
        <v>76</v>
      </c>
      <c r="K84" s="2">
        <v>4.0999999999999997E-6</v>
      </c>
      <c r="L84" s="2">
        <v>1.3E-6</v>
      </c>
      <c r="M84" s="2"/>
      <c r="N84" s="2"/>
      <c r="O84" s="2"/>
    </row>
    <row r="85" spans="2:15" x14ac:dyDescent="0.3">
      <c r="B85">
        <v>77</v>
      </c>
      <c r="C85" s="2">
        <v>1E-4</v>
      </c>
      <c r="D85" s="2">
        <v>3.1999999999999999E-5</v>
      </c>
      <c r="E85" s="2"/>
      <c r="F85" s="2"/>
      <c r="J85">
        <v>77</v>
      </c>
      <c r="K85" s="2">
        <v>3.9999999999999998E-6</v>
      </c>
      <c r="L85" s="2">
        <v>1.3E-6</v>
      </c>
      <c r="M85" s="2"/>
      <c r="N85" s="2"/>
      <c r="O85" s="2"/>
    </row>
    <row r="86" spans="2:15" x14ac:dyDescent="0.3">
      <c r="B86">
        <v>78</v>
      </c>
      <c r="C86" s="2">
        <v>9.8999999999999994E-5</v>
      </c>
      <c r="D86" s="2">
        <v>3.1000000000000001E-5</v>
      </c>
      <c r="E86" s="2"/>
      <c r="F86" s="2"/>
      <c r="J86">
        <v>78</v>
      </c>
      <c r="K86" s="2">
        <v>3.9999999999999998E-6</v>
      </c>
      <c r="L86" s="2">
        <v>1.1999999999999999E-6</v>
      </c>
      <c r="M86" s="2"/>
      <c r="N86" s="2"/>
      <c r="O86" s="2"/>
    </row>
    <row r="87" spans="2:15" x14ac:dyDescent="0.3">
      <c r="B87">
        <v>79</v>
      </c>
      <c r="C87" s="2">
        <v>9.7E-5</v>
      </c>
      <c r="D87" s="2">
        <v>3.0000000000000001E-5</v>
      </c>
      <c r="E87" s="2"/>
      <c r="F87" s="2"/>
      <c r="J87">
        <v>79</v>
      </c>
      <c r="K87" s="2">
        <v>3.8999999999999999E-6</v>
      </c>
      <c r="L87" s="2">
        <v>1.1999999999999999E-6</v>
      </c>
      <c r="M87" s="2"/>
      <c r="N87" s="2"/>
      <c r="O87" s="2"/>
    </row>
    <row r="88" spans="2:15" x14ac:dyDescent="0.3">
      <c r="B88">
        <v>80</v>
      </c>
      <c r="C88" s="2">
        <v>9.5000000000000005E-5</v>
      </c>
      <c r="D88" s="2">
        <v>3.0000000000000001E-5</v>
      </c>
      <c r="E88" s="2"/>
      <c r="F88" s="2"/>
      <c r="J88">
        <v>80</v>
      </c>
      <c r="K88" s="2">
        <v>3.8E-6</v>
      </c>
      <c r="L88" s="2">
        <v>1.1999999999999999E-6</v>
      </c>
      <c r="M88" s="2"/>
      <c r="N88" s="2"/>
      <c r="O88" s="2"/>
    </row>
    <row r="89" spans="2:15" x14ac:dyDescent="0.3">
      <c r="B89">
        <v>81</v>
      </c>
      <c r="C89" s="2">
        <v>9.2999999999999997E-5</v>
      </c>
      <c r="D89" s="2">
        <v>2.9E-5</v>
      </c>
      <c r="E89" s="2"/>
      <c r="F89" s="2"/>
      <c r="J89">
        <v>81</v>
      </c>
      <c r="K89" s="2">
        <v>3.7000000000000002E-6</v>
      </c>
      <c r="L89" s="2">
        <v>1.1999999999999999E-6</v>
      </c>
      <c r="M89" s="2"/>
      <c r="N89" s="2"/>
      <c r="O89" s="2"/>
    </row>
    <row r="90" spans="2:15" x14ac:dyDescent="0.3">
      <c r="B90">
        <v>82</v>
      </c>
      <c r="C90" s="2">
        <v>9.2E-5</v>
      </c>
      <c r="D90" s="2">
        <v>2.9E-5</v>
      </c>
      <c r="E90" s="2"/>
      <c r="F90" s="2"/>
      <c r="J90">
        <v>82</v>
      </c>
      <c r="K90" s="2">
        <v>3.7000000000000002E-6</v>
      </c>
      <c r="L90" s="2">
        <v>1.1000000000000001E-6</v>
      </c>
      <c r="M90" s="2"/>
      <c r="N90" s="2"/>
      <c r="O90" s="2"/>
    </row>
    <row r="91" spans="2:15" x14ac:dyDescent="0.3">
      <c r="B91">
        <v>83</v>
      </c>
      <c r="C91" s="2">
        <v>9.0000000000000006E-5</v>
      </c>
      <c r="D91" s="2">
        <v>2.8E-5</v>
      </c>
      <c r="E91" s="2"/>
      <c r="F91" s="2"/>
      <c r="J91">
        <v>83</v>
      </c>
      <c r="K91" s="2">
        <v>3.5999999999999998E-6</v>
      </c>
      <c r="L91" s="2">
        <v>1.1000000000000001E-6</v>
      </c>
      <c r="M91" s="2"/>
      <c r="N91" s="2"/>
      <c r="O91" s="2"/>
    </row>
    <row r="92" spans="2:15" x14ac:dyDescent="0.3">
      <c r="B92">
        <v>84</v>
      </c>
      <c r="C92" s="2">
        <v>8.8999999999999995E-5</v>
      </c>
      <c r="D92" s="2">
        <v>2.8E-5</v>
      </c>
      <c r="E92" s="2"/>
      <c r="F92" s="2"/>
      <c r="J92">
        <v>84</v>
      </c>
      <c r="K92" s="2">
        <v>3.5999999999999998E-6</v>
      </c>
      <c r="L92" s="2">
        <v>1.1000000000000001E-6</v>
      </c>
      <c r="M92" s="2"/>
      <c r="N92" s="2"/>
      <c r="O92" s="2"/>
    </row>
    <row r="93" spans="2:15" x14ac:dyDescent="0.3">
      <c r="B93">
        <v>85</v>
      </c>
      <c r="C93" s="2">
        <v>8.7000000000000001E-5</v>
      </c>
      <c r="D93" s="2">
        <v>2.6999999999999999E-5</v>
      </c>
      <c r="E93" s="2"/>
      <c r="F93" s="2"/>
      <c r="J93">
        <v>85</v>
      </c>
      <c r="K93" s="2">
        <v>3.4999999999999999E-6</v>
      </c>
      <c r="L93" s="2">
        <v>1.1000000000000001E-6</v>
      </c>
      <c r="M93" s="2"/>
      <c r="N93" s="2"/>
      <c r="O93" s="2"/>
    </row>
    <row r="94" spans="2:15" x14ac:dyDescent="0.3">
      <c r="B94">
        <v>86</v>
      </c>
      <c r="C94" s="2">
        <v>8.6000000000000003E-5</v>
      </c>
      <c r="D94" s="2">
        <v>2.6999999999999999E-5</v>
      </c>
      <c r="E94" s="2"/>
      <c r="F94" s="2"/>
      <c r="J94">
        <v>86</v>
      </c>
      <c r="K94" s="2">
        <v>3.4000000000000001E-6</v>
      </c>
      <c r="L94" s="2">
        <v>1.1000000000000001E-6</v>
      </c>
      <c r="M94" s="2"/>
      <c r="N94" s="2"/>
      <c r="O94" s="2"/>
    </row>
    <row r="95" spans="2:15" x14ac:dyDescent="0.3">
      <c r="B95">
        <v>87</v>
      </c>
      <c r="C95" s="2">
        <v>8.5000000000000006E-5</v>
      </c>
      <c r="D95" s="2">
        <v>2.5999999999999998E-5</v>
      </c>
      <c r="E95" s="2"/>
      <c r="F95" s="2"/>
      <c r="J95">
        <v>87</v>
      </c>
      <c r="K95" s="2">
        <v>3.4000000000000001E-6</v>
      </c>
      <c r="L95" s="2">
        <v>1.1000000000000001E-6</v>
      </c>
      <c r="M95" s="2"/>
      <c r="N95" s="2"/>
      <c r="O95" s="2"/>
    </row>
    <row r="96" spans="2:15" x14ac:dyDescent="0.3">
      <c r="B96">
        <v>88</v>
      </c>
      <c r="C96" s="2">
        <v>8.3999999999999995E-5</v>
      </c>
      <c r="D96" s="2">
        <v>2.5999999999999998E-5</v>
      </c>
      <c r="E96" s="2"/>
      <c r="F96" s="2"/>
      <c r="J96">
        <v>88</v>
      </c>
      <c r="K96" s="2">
        <v>3.3000000000000002E-6</v>
      </c>
      <c r="L96" s="2">
        <v>9.9999999999999995E-7</v>
      </c>
      <c r="M96" s="2"/>
      <c r="N96" s="2"/>
      <c r="O96" s="2"/>
    </row>
    <row r="97" spans="2:15" x14ac:dyDescent="0.3">
      <c r="B97">
        <v>89</v>
      </c>
      <c r="C97" s="2">
        <v>8.2000000000000001E-5</v>
      </c>
      <c r="D97" s="2">
        <v>2.5999999999999998E-5</v>
      </c>
      <c r="E97" s="2"/>
      <c r="F97" s="2"/>
      <c r="J97">
        <v>89</v>
      </c>
      <c r="K97" s="2">
        <v>3.3000000000000002E-6</v>
      </c>
      <c r="L97" s="2">
        <v>9.9999999999999995E-7</v>
      </c>
      <c r="M97" s="2"/>
      <c r="N97" s="2"/>
      <c r="O97" s="2"/>
    </row>
    <row r="98" spans="2:15" x14ac:dyDescent="0.3">
      <c r="B98">
        <v>90</v>
      </c>
      <c r="C98" s="2">
        <v>8.1000000000000004E-5</v>
      </c>
      <c r="D98" s="2">
        <v>2.5000000000000001E-5</v>
      </c>
      <c r="E98" s="2"/>
      <c r="F98" s="2"/>
      <c r="J98">
        <v>90</v>
      </c>
      <c r="K98" s="2">
        <v>3.3000000000000002E-6</v>
      </c>
      <c r="L98" s="2">
        <v>9.9999999999999995E-7</v>
      </c>
      <c r="M98" s="2"/>
      <c r="N98" s="2"/>
      <c r="O98" s="2"/>
    </row>
    <row r="99" spans="2:15" x14ac:dyDescent="0.3">
      <c r="B99">
        <v>91</v>
      </c>
      <c r="C99" s="2">
        <v>8.0000000000000007E-5</v>
      </c>
      <c r="D99" s="2">
        <v>2.5000000000000001E-5</v>
      </c>
      <c r="E99" s="2"/>
      <c r="F99" s="2"/>
      <c r="J99">
        <v>91</v>
      </c>
      <c r="K99" s="2">
        <v>3.1999999999999999E-6</v>
      </c>
      <c r="L99" s="2">
        <v>9.9000000000000005E-7</v>
      </c>
      <c r="M99" s="2"/>
      <c r="N99" s="2"/>
      <c r="O99" s="2"/>
    </row>
    <row r="100" spans="2:15" x14ac:dyDescent="0.3">
      <c r="B100">
        <v>92</v>
      </c>
      <c r="C100" s="2">
        <v>7.8999999999999996E-5</v>
      </c>
      <c r="D100" s="2">
        <v>2.4000000000000001E-5</v>
      </c>
      <c r="E100" s="2"/>
      <c r="F100" s="2"/>
      <c r="J100">
        <v>92</v>
      </c>
      <c r="K100" s="2">
        <v>3.1999999999999999E-6</v>
      </c>
      <c r="L100" s="2">
        <v>9.7999999999999993E-7</v>
      </c>
      <c r="M100" s="2"/>
      <c r="N100" s="2"/>
      <c r="O100" s="2"/>
    </row>
    <row r="101" spans="2:15" x14ac:dyDescent="0.3">
      <c r="B101">
        <v>93</v>
      </c>
      <c r="C101" s="2">
        <v>7.7999999999999999E-5</v>
      </c>
      <c r="D101" s="2">
        <v>2.4000000000000001E-5</v>
      </c>
      <c r="E101" s="2"/>
      <c r="F101" s="2"/>
      <c r="J101">
        <v>93</v>
      </c>
      <c r="K101" s="2">
        <v>3.1E-6</v>
      </c>
      <c r="L101" s="2">
        <v>9.7000000000000003E-7</v>
      </c>
      <c r="M101" s="2"/>
      <c r="N101" s="2"/>
      <c r="O101" s="2"/>
    </row>
    <row r="102" spans="2:15" x14ac:dyDescent="0.3">
      <c r="B102">
        <v>94</v>
      </c>
      <c r="C102" s="2">
        <v>7.7000000000000001E-5</v>
      </c>
      <c r="D102" s="2">
        <v>2.4000000000000001E-5</v>
      </c>
      <c r="E102" s="2"/>
      <c r="F102" s="2"/>
      <c r="J102">
        <v>94</v>
      </c>
      <c r="K102" s="2">
        <v>3.1E-6</v>
      </c>
      <c r="L102" s="2">
        <v>9.5000000000000001E-7</v>
      </c>
      <c r="M102" s="2"/>
      <c r="N102" s="2"/>
      <c r="O102" s="2"/>
    </row>
    <row r="103" spans="2:15" x14ac:dyDescent="0.3">
      <c r="B103">
        <v>95</v>
      </c>
      <c r="C103" s="2">
        <v>7.6000000000000004E-5</v>
      </c>
      <c r="D103" s="2">
        <v>2.4000000000000001E-5</v>
      </c>
      <c r="E103" s="2"/>
      <c r="F103" s="2"/>
      <c r="J103">
        <v>95</v>
      </c>
      <c r="K103" s="2">
        <v>3.1E-6</v>
      </c>
      <c r="L103" s="2">
        <v>9.4E-7</v>
      </c>
      <c r="M103" s="2"/>
      <c r="N103" s="2"/>
      <c r="O103" s="2"/>
    </row>
    <row r="104" spans="2:15" x14ac:dyDescent="0.3">
      <c r="B104">
        <v>96</v>
      </c>
      <c r="C104" s="2">
        <v>7.4999999999999993E-5</v>
      </c>
      <c r="D104" s="2">
        <v>2.3E-5</v>
      </c>
      <c r="E104" s="2"/>
      <c r="F104" s="2"/>
      <c r="J104">
        <v>96</v>
      </c>
      <c r="K104" s="2">
        <v>3.0000000000000001E-6</v>
      </c>
      <c r="L104" s="2">
        <v>9.2999999999999999E-7</v>
      </c>
      <c r="M104" s="2"/>
      <c r="N104" s="2"/>
      <c r="O104" s="2"/>
    </row>
    <row r="105" spans="2:15" x14ac:dyDescent="0.3">
      <c r="B105">
        <v>97</v>
      </c>
      <c r="C105" s="2">
        <v>7.4999999999999993E-5</v>
      </c>
      <c r="D105" s="2">
        <v>2.3E-5</v>
      </c>
      <c r="E105" s="2"/>
      <c r="F105" s="2"/>
      <c r="J105">
        <v>97</v>
      </c>
      <c r="K105" s="2">
        <v>3.0000000000000001E-6</v>
      </c>
      <c r="L105" s="2">
        <v>9.1999999999999998E-7</v>
      </c>
      <c r="M105" s="2"/>
      <c r="N105" s="2"/>
      <c r="O105" s="2"/>
    </row>
    <row r="106" spans="2:15" x14ac:dyDescent="0.3">
      <c r="B106">
        <v>98</v>
      </c>
      <c r="C106" s="2">
        <v>7.3999999999999996E-5</v>
      </c>
      <c r="D106" s="2">
        <v>2.3E-5</v>
      </c>
      <c r="E106" s="2"/>
      <c r="F106" s="2"/>
      <c r="J106">
        <v>98</v>
      </c>
      <c r="K106" s="2">
        <v>3.0000000000000001E-6</v>
      </c>
      <c r="L106" s="2">
        <v>9.0999999999999997E-7</v>
      </c>
      <c r="M106" s="2"/>
      <c r="N106" s="2"/>
      <c r="O106" s="2"/>
    </row>
    <row r="107" spans="2:15" x14ac:dyDescent="0.3">
      <c r="B107">
        <v>99</v>
      </c>
      <c r="C107" s="2">
        <v>7.2999999999999999E-5</v>
      </c>
      <c r="D107" s="2">
        <v>2.1999999999999999E-5</v>
      </c>
      <c r="E107" s="2"/>
      <c r="F107" s="2"/>
      <c r="J107">
        <v>99</v>
      </c>
      <c r="K107" s="2">
        <v>2.9000000000000002E-6</v>
      </c>
      <c r="L107" s="2">
        <v>8.9999999999999996E-7</v>
      </c>
      <c r="M107" s="2"/>
      <c r="N107" s="2"/>
      <c r="O107" s="2"/>
    </row>
    <row r="108" spans="2:15" x14ac:dyDescent="0.3">
      <c r="B108">
        <v>100</v>
      </c>
      <c r="C108" s="2">
        <v>7.2000000000000002E-5</v>
      </c>
      <c r="D108" s="2">
        <v>2.1999999999999999E-5</v>
      </c>
      <c r="E108" s="2"/>
      <c r="F108" s="2"/>
      <c r="J108">
        <v>100</v>
      </c>
      <c r="K108" s="2">
        <v>2.9000000000000002E-6</v>
      </c>
      <c r="L108" s="2">
        <v>8.8999999999999995E-7</v>
      </c>
      <c r="M108" s="2"/>
      <c r="N108" s="2"/>
      <c r="O108" s="2"/>
    </row>
    <row r="109" spans="2:15" x14ac:dyDescent="0.3">
      <c r="B109">
        <v>110</v>
      </c>
      <c r="C109" s="2">
        <v>6.6000000000000005E-5</v>
      </c>
      <c r="D109" s="2">
        <v>2.0000000000000002E-5</v>
      </c>
      <c r="E109" s="2"/>
      <c r="F109" s="2"/>
      <c r="J109">
        <v>110</v>
      </c>
      <c r="K109" s="2">
        <v>2.6000000000000001E-6</v>
      </c>
      <c r="L109" s="2">
        <v>8.0999999999999997E-7</v>
      </c>
      <c r="M109" s="2"/>
      <c r="N109" s="2"/>
      <c r="O109" s="2"/>
    </row>
    <row r="110" spans="2:15" x14ac:dyDescent="0.3">
      <c r="B110">
        <v>120</v>
      </c>
      <c r="C110" s="2">
        <v>6.0999999999999999E-5</v>
      </c>
      <c r="D110" s="2">
        <v>1.9000000000000001E-5</v>
      </c>
      <c r="E110" s="2"/>
      <c r="F110" s="2"/>
      <c r="J110">
        <v>120</v>
      </c>
      <c r="K110" s="2">
        <v>2.3999999999999999E-6</v>
      </c>
      <c r="L110" s="2">
        <v>7.5000000000000002E-7</v>
      </c>
      <c r="M110" s="2"/>
      <c r="N110" s="2"/>
      <c r="O110" s="2"/>
    </row>
    <row r="111" spans="2:15" x14ac:dyDescent="0.3">
      <c r="B111">
        <v>130</v>
      </c>
      <c r="C111" s="2">
        <v>5.7000000000000003E-5</v>
      </c>
      <c r="D111" s="2">
        <v>1.7E-5</v>
      </c>
      <c r="E111" s="2"/>
      <c r="F111" s="2"/>
      <c r="J111">
        <v>130</v>
      </c>
      <c r="K111" s="2">
        <v>2.3E-6</v>
      </c>
      <c r="L111" s="2">
        <v>6.8999999999999996E-7</v>
      </c>
      <c r="M111" s="2"/>
      <c r="N111" s="2"/>
      <c r="O111" s="2"/>
    </row>
    <row r="112" spans="2:15" x14ac:dyDescent="0.3">
      <c r="B112">
        <v>140</v>
      </c>
      <c r="C112" s="2">
        <v>5.3000000000000001E-5</v>
      </c>
      <c r="D112" s="2">
        <v>1.5999999999999999E-5</v>
      </c>
      <c r="E112" s="2"/>
      <c r="F112" s="2"/>
      <c r="J112">
        <v>140</v>
      </c>
      <c r="K112" s="2">
        <v>2.0999999999999998E-6</v>
      </c>
      <c r="L112" s="2">
        <v>6.5000000000000002E-7</v>
      </c>
      <c r="M112" s="2"/>
      <c r="N112" s="2"/>
      <c r="O112" s="2"/>
    </row>
    <row r="113" spans="2:15" x14ac:dyDescent="0.3">
      <c r="B113">
        <v>150</v>
      </c>
      <c r="C113" s="2">
        <v>5.0000000000000002E-5</v>
      </c>
      <c r="D113" s="2">
        <v>1.5E-5</v>
      </c>
      <c r="E113" s="2"/>
      <c r="F113" s="2"/>
      <c r="J113">
        <v>150</v>
      </c>
      <c r="K113" s="2">
        <v>1.9999999999999999E-6</v>
      </c>
      <c r="L113" s="2">
        <v>6.0999999999999998E-7</v>
      </c>
      <c r="M113" s="2"/>
      <c r="N113" s="2"/>
      <c r="O113" s="2"/>
    </row>
    <row r="114" spans="2:15" x14ac:dyDescent="0.3">
      <c r="B114">
        <v>160</v>
      </c>
      <c r="C114" s="2">
        <v>4.6999999999999997E-5</v>
      </c>
      <c r="D114" s="2">
        <v>1.4E-5</v>
      </c>
      <c r="E114" s="2"/>
      <c r="F114" s="2"/>
      <c r="J114">
        <v>160</v>
      </c>
      <c r="K114" s="2">
        <v>1.9E-6</v>
      </c>
      <c r="L114" s="2">
        <v>5.7000000000000005E-7</v>
      </c>
      <c r="M114" s="2"/>
      <c r="N114" s="2"/>
      <c r="O114" s="2"/>
    </row>
    <row r="115" spans="2:15" x14ac:dyDescent="0.3">
      <c r="B115">
        <v>170</v>
      </c>
      <c r="C115" s="2">
        <v>4.3999999999999999E-5</v>
      </c>
      <c r="D115" s="2">
        <v>1.2999999999999999E-5</v>
      </c>
      <c r="E115" s="2"/>
      <c r="F115" s="2"/>
      <c r="J115">
        <v>170</v>
      </c>
      <c r="K115" s="2">
        <v>1.7E-6</v>
      </c>
      <c r="L115" s="2">
        <v>5.4000000000000002E-7</v>
      </c>
      <c r="M115" s="2"/>
      <c r="N115" s="2"/>
      <c r="O115" s="2"/>
    </row>
    <row r="116" spans="2:15" x14ac:dyDescent="0.3">
      <c r="B116">
        <v>180</v>
      </c>
      <c r="C116" s="2">
        <v>4.1E-5</v>
      </c>
      <c r="D116" s="2">
        <v>1.2999999999999999E-5</v>
      </c>
      <c r="E116" s="2"/>
      <c r="F116" s="2"/>
      <c r="J116">
        <v>180</v>
      </c>
      <c r="K116" s="2">
        <v>1.5999999999999999E-6</v>
      </c>
      <c r="L116" s="2">
        <v>4.9999999999999998E-7</v>
      </c>
      <c r="M116" s="2"/>
      <c r="N116" s="2"/>
      <c r="O116" s="2"/>
    </row>
    <row r="117" spans="2:15" x14ac:dyDescent="0.3">
      <c r="B117">
        <v>190</v>
      </c>
      <c r="C117" s="2">
        <v>3.8999999999999999E-5</v>
      </c>
      <c r="D117" s="2">
        <v>1.2E-5</v>
      </c>
      <c r="E117" s="2"/>
      <c r="F117" s="2"/>
      <c r="J117">
        <v>190</v>
      </c>
      <c r="K117" s="2">
        <v>1.5E-6</v>
      </c>
      <c r="L117" s="2">
        <v>4.7E-7</v>
      </c>
      <c r="M117" s="2"/>
      <c r="N117" s="2"/>
      <c r="O117" s="2"/>
    </row>
    <row r="118" spans="2:15" x14ac:dyDescent="0.3">
      <c r="B118">
        <v>200</v>
      </c>
      <c r="C118" s="2">
        <v>3.6000000000000001E-5</v>
      </c>
      <c r="D118" s="2">
        <v>1.1E-5</v>
      </c>
      <c r="E118" s="2"/>
      <c r="F118" s="2"/>
      <c r="J118">
        <v>200</v>
      </c>
      <c r="K118" s="2">
        <v>1.5E-6</v>
      </c>
      <c r="L118" s="2">
        <v>4.4999999999999998E-7</v>
      </c>
      <c r="M118" s="2"/>
      <c r="N118" s="2"/>
      <c r="O118" s="2"/>
    </row>
    <row r="119" spans="2:15" x14ac:dyDescent="0.3">
      <c r="B119">
        <v>210</v>
      </c>
      <c r="C119" s="2">
        <v>3.4E-5</v>
      </c>
      <c r="D119" s="2">
        <v>1.1E-5</v>
      </c>
      <c r="E119" s="2"/>
      <c r="F119" s="2"/>
      <c r="J119">
        <v>210</v>
      </c>
      <c r="K119" s="2">
        <v>1.3999999999999999E-6</v>
      </c>
      <c r="L119" s="2">
        <v>4.2E-7</v>
      </c>
      <c r="M119" s="2"/>
      <c r="N119" s="2"/>
      <c r="O119" s="2"/>
    </row>
    <row r="120" spans="2:15" x14ac:dyDescent="0.3">
      <c r="B120">
        <v>220</v>
      </c>
      <c r="C120" s="2">
        <v>3.1999999999999999E-5</v>
      </c>
      <c r="D120" s="2">
        <v>9.9000000000000001E-6</v>
      </c>
      <c r="E120" s="2"/>
      <c r="F120" s="2"/>
      <c r="J120">
        <v>220</v>
      </c>
      <c r="K120" s="2">
        <v>1.3E-6</v>
      </c>
      <c r="L120" s="2">
        <v>3.9999999999999998E-7</v>
      </c>
      <c r="M120" s="2"/>
      <c r="N120" s="2"/>
      <c r="O120" s="2"/>
    </row>
    <row r="121" spans="2:15" x14ac:dyDescent="0.3">
      <c r="B121">
        <v>230</v>
      </c>
      <c r="C121" s="2">
        <v>3.1000000000000001E-5</v>
      </c>
      <c r="D121" s="2">
        <v>9.3999999999999998E-6</v>
      </c>
      <c r="E121" s="2"/>
      <c r="F121" s="2"/>
      <c r="J121">
        <v>230</v>
      </c>
      <c r="K121" s="2">
        <v>1.1999999999999999E-6</v>
      </c>
      <c r="L121" s="2">
        <v>3.7E-7</v>
      </c>
      <c r="M121" s="2"/>
      <c r="N121" s="2"/>
      <c r="O121" s="2"/>
    </row>
    <row r="122" spans="2:15" x14ac:dyDescent="0.3">
      <c r="B122">
        <v>240</v>
      </c>
      <c r="C122" s="2">
        <v>2.9E-5</v>
      </c>
      <c r="D122" s="2">
        <v>8.8000000000000004E-6</v>
      </c>
      <c r="E122" s="2"/>
      <c r="F122" s="2"/>
      <c r="J122">
        <v>240</v>
      </c>
      <c r="K122" s="2">
        <v>1.1999999999999999E-6</v>
      </c>
      <c r="L122" s="2">
        <v>3.4999999999999998E-7</v>
      </c>
      <c r="M122" s="2"/>
      <c r="N122" s="2"/>
      <c r="O122" s="2"/>
    </row>
    <row r="123" spans="2:15" x14ac:dyDescent="0.3">
      <c r="B123">
        <v>250</v>
      </c>
      <c r="C123" s="2">
        <v>2.6999999999999999E-5</v>
      </c>
      <c r="D123" s="2">
        <v>8.3999999999999992E-6</v>
      </c>
      <c r="E123" s="2"/>
      <c r="F123" s="2"/>
      <c r="J123">
        <v>250</v>
      </c>
      <c r="K123" s="2">
        <v>1.1000000000000001E-6</v>
      </c>
      <c r="L123" s="2">
        <v>3.3000000000000002E-7</v>
      </c>
      <c r="M123" s="2"/>
      <c r="N123" s="2"/>
      <c r="O123" s="2"/>
    </row>
    <row r="124" spans="2:15" x14ac:dyDescent="0.3">
      <c r="B124">
        <v>260</v>
      </c>
      <c r="C124" s="2">
        <v>2.5999999999999998E-5</v>
      </c>
      <c r="D124" s="2">
        <v>7.9000000000000006E-6</v>
      </c>
      <c r="E124" s="2"/>
      <c r="F124" s="2"/>
      <c r="J124">
        <v>260</v>
      </c>
      <c r="K124" s="2">
        <v>9.9999999999999995E-7</v>
      </c>
      <c r="L124" s="2">
        <v>3.2000000000000001E-7</v>
      </c>
      <c r="M124" s="2"/>
      <c r="N124" s="2"/>
      <c r="O124" s="2"/>
    </row>
    <row r="125" spans="2:15" x14ac:dyDescent="0.3">
      <c r="B125">
        <v>270</v>
      </c>
      <c r="C125" s="2">
        <v>2.5000000000000001E-5</v>
      </c>
      <c r="D125" s="2">
        <v>7.5000000000000002E-6</v>
      </c>
      <c r="E125" s="2"/>
      <c r="F125" s="2"/>
      <c r="J125">
        <v>270</v>
      </c>
      <c r="K125" s="2">
        <v>9.7999999999999993E-7</v>
      </c>
      <c r="L125" s="2">
        <v>2.9999999999999999E-7</v>
      </c>
      <c r="M125" s="2"/>
      <c r="N125" s="2"/>
      <c r="O125" s="2"/>
    </row>
    <row r="126" spans="2:15" x14ac:dyDescent="0.3">
      <c r="B126">
        <v>280</v>
      </c>
      <c r="C126" s="2">
        <v>2.3E-5</v>
      </c>
      <c r="D126" s="2">
        <v>7.0999999999999998E-6</v>
      </c>
      <c r="E126" s="2"/>
      <c r="F126" s="2"/>
      <c r="J126">
        <v>280</v>
      </c>
      <c r="K126" s="2">
        <v>9.2999999999999999E-7</v>
      </c>
      <c r="L126" s="2">
        <v>2.8000000000000002E-7</v>
      </c>
      <c r="M126" s="2"/>
      <c r="N126" s="2"/>
      <c r="O126" s="2"/>
    </row>
    <row r="127" spans="2:15" x14ac:dyDescent="0.3">
      <c r="B127">
        <v>290</v>
      </c>
      <c r="C127" s="2">
        <v>2.1999999999999999E-5</v>
      </c>
      <c r="D127" s="2">
        <v>6.7000000000000002E-6</v>
      </c>
      <c r="E127" s="2"/>
      <c r="F127" s="2"/>
      <c r="J127">
        <v>290</v>
      </c>
      <c r="K127" s="2">
        <v>8.8000000000000004E-7</v>
      </c>
      <c r="L127" s="2">
        <v>2.7000000000000001E-7</v>
      </c>
      <c r="M127" s="2"/>
      <c r="N127" s="2"/>
      <c r="O127" s="2"/>
    </row>
    <row r="128" spans="2:15" x14ac:dyDescent="0.3">
      <c r="B128">
        <v>300</v>
      </c>
      <c r="C128" s="2">
        <v>2.0999999999999999E-5</v>
      </c>
      <c r="D128" s="2">
        <v>6.3999999999999997E-6</v>
      </c>
      <c r="E128" s="2"/>
      <c r="F128" s="2"/>
      <c r="J128">
        <v>300</v>
      </c>
      <c r="K128" s="2">
        <v>8.4E-7</v>
      </c>
      <c r="L128" s="2">
        <v>2.6E-7</v>
      </c>
      <c r="M128" s="2"/>
      <c r="N128" s="2"/>
      <c r="O128" s="2"/>
    </row>
    <row r="129" spans="2:15" x14ac:dyDescent="0.3">
      <c r="B129">
        <v>310</v>
      </c>
      <c r="C129" s="2">
        <v>2.0000000000000002E-5</v>
      </c>
      <c r="D129" s="2">
        <v>6.1E-6</v>
      </c>
      <c r="E129" s="2"/>
      <c r="F129" s="2"/>
      <c r="J129">
        <v>310</v>
      </c>
      <c r="K129" s="2">
        <v>7.9999999999999996E-7</v>
      </c>
      <c r="L129" s="2">
        <v>2.3999999999999998E-7</v>
      </c>
      <c r="M129" s="2"/>
      <c r="N129" s="2"/>
      <c r="O129" s="2"/>
    </row>
    <row r="130" spans="2:15" x14ac:dyDescent="0.3">
      <c r="B130">
        <v>320</v>
      </c>
      <c r="C130" s="2">
        <v>1.9000000000000001E-5</v>
      </c>
      <c r="D130" s="2">
        <v>5.8000000000000004E-6</v>
      </c>
      <c r="E130" s="2"/>
      <c r="F130" s="2"/>
      <c r="J130">
        <v>320</v>
      </c>
      <c r="K130" s="2">
        <v>7.6000000000000003E-7</v>
      </c>
      <c r="L130" s="2">
        <v>2.2999999999999999E-7</v>
      </c>
      <c r="M130" s="2"/>
      <c r="N130" s="2"/>
      <c r="O130" s="2"/>
    </row>
    <row r="131" spans="2:15" x14ac:dyDescent="0.3">
      <c r="B131">
        <v>330</v>
      </c>
      <c r="C131" s="2">
        <v>1.8E-5</v>
      </c>
      <c r="D131" s="2">
        <v>5.4999999999999999E-6</v>
      </c>
      <c r="E131" s="2"/>
      <c r="F131" s="2"/>
      <c r="J131">
        <v>330</v>
      </c>
      <c r="K131" s="2">
        <v>7.1999999999999999E-7</v>
      </c>
      <c r="L131" s="2">
        <v>2.2000000000000001E-7</v>
      </c>
      <c r="M131" s="2"/>
      <c r="N131" s="2"/>
      <c r="O131" s="2"/>
    </row>
    <row r="132" spans="2:15" x14ac:dyDescent="0.3">
      <c r="B132">
        <v>340</v>
      </c>
      <c r="C132" s="2">
        <v>1.7E-5</v>
      </c>
      <c r="D132" s="2">
        <v>5.3000000000000001E-6</v>
      </c>
      <c r="E132" s="2"/>
      <c r="F132" s="2"/>
      <c r="J132">
        <v>340</v>
      </c>
      <c r="K132" s="2">
        <v>6.8999999999999996E-7</v>
      </c>
      <c r="L132" s="2">
        <v>2.1E-7</v>
      </c>
      <c r="M132" s="2"/>
      <c r="N132" s="2"/>
      <c r="O132" s="2"/>
    </row>
    <row r="133" spans="2:15" x14ac:dyDescent="0.3">
      <c r="B133">
        <v>350</v>
      </c>
      <c r="C133" s="2">
        <v>1.5999999999999999E-5</v>
      </c>
      <c r="D133" s="2">
        <v>5.0000000000000004E-6</v>
      </c>
      <c r="E133" s="2"/>
      <c r="F133" s="2"/>
      <c r="J133">
        <v>350</v>
      </c>
      <c r="K133" s="2">
        <v>6.6000000000000003E-7</v>
      </c>
      <c r="L133" s="2">
        <v>1.9999999999999999E-7</v>
      </c>
      <c r="M133" s="2"/>
      <c r="N133" s="2"/>
      <c r="O133" s="2"/>
    </row>
    <row r="134" spans="2:15" x14ac:dyDescent="0.3">
      <c r="B134">
        <v>360</v>
      </c>
      <c r="C134" s="2">
        <v>1.5999999999999999E-5</v>
      </c>
      <c r="D134" s="2">
        <v>4.7999999999999998E-6</v>
      </c>
      <c r="E134" s="2"/>
      <c r="F134" s="2"/>
      <c r="J134">
        <v>360</v>
      </c>
      <c r="K134" s="2">
        <v>6.3E-7</v>
      </c>
      <c r="L134" s="2">
        <v>1.9000000000000001E-7</v>
      </c>
      <c r="M134" s="2"/>
      <c r="N134" s="2"/>
      <c r="O134" s="2"/>
    </row>
    <row r="135" spans="2:15" x14ac:dyDescent="0.3">
      <c r="B135">
        <v>365</v>
      </c>
      <c r="C135" s="2">
        <v>1.5E-5</v>
      </c>
      <c r="D135" s="2">
        <v>4.6999999999999999E-6</v>
      </c>
      <c r="E135" s="2"/>
      <c r="F135" s="2"/>
      <c r="J135">
        <v>365</v>
      </c>
      <c r="K135" s="2">
        <v>6.0999999999999998E-7</v>
      </c>
      <c r="L135" s="2">
        <v>1.9000000000000001E-7</v>
      </c>
      <c r="M135" s="2"/>
      <c r="N135" s="2"/>
      <c r="O135" s="2"/>
    </row>
    <row r="136" spans="2:15" x14ac:dyDescent="0.3">
      <c r="B136">
        <v>370</v>
      </c>
      <c r="C136" s="2">
        <v>1.5E-5</v>
      </c>
      <c r="D136" s="2">
        <v>4.6E-6</v>
      </c>
      <c r="E136" s="2"/>
      <c r="F136" s="2"/>
      <c r="J136">
        <v>370</v>
      </c>
      <c r="K136" s="2">
        <v>5.9999999999999997E-7</v>
      </c>
      <c r="L136" s="2">
        <v>1.8E-7</v>
      </c>
      <c r="M136" s="2"/>
      <c r="N136" s="2"/>
      <c r="O136" s="2"/>
    </row>
    <row r="137" spans="2:15" x14ac:dyDescent="0.3">
      <c r="B137">
        <v>380</v>
      </c>
      <c r="C137" s="2">
        <v>1.4E-5</v>
      </c>
      <c r="D137" s="2">
        <v>4.4000000000000002E-6</v>
      </c>
      <c r="E137" s="2"/>
      <c r="F137" s="2"/>
      <c r="J137">
        <v>380</v>
      </c>
      <c r="K137" s="2">
        <v>5.7000000000000005E-7</v>
      </c>
      <c r="L137" s="2">
        <v>1.8E-7</v>
      </c>
      <c r="M137" s="2"/>
      <c r="N137" s="2"/>
      <c r="O137" s="2"/>
    </row>
    <row r="138" spans="2:15" x14ac:dyDescent="0.3">
      <c r="B138">
        <v>390</v>
      </c>
      <c r="C138" s="2">
        <v>1.4E-5</v>
      </c>
      <c r="D138" s="2">
        <v>4.1999999999999996E-6</v>
      </c>
      <c r="E138" s="2"/>
      <c r="F138" s="2"/>
      <c r="J138">
        <v>390</v>
      </c>
      <c r="K138" s="2">
        <v>5.5000000000000003E-7</v>
      </c>
      <c r="L138" s="2">
        <v>1.6999999999999999E-7</v>
      </c>
      <c r="M138" s="2"/>
      <c r="N138" s="2"/>
      <c r="O138" s="2"/>
    </row>
    <row r="139" spans="2:15" x14ac:dyDescent="0.3">
      <c r="B139">
        <v>400</v>
      </c>
      <c r="C139" s="2">
        <v>1.2999999999999999E-5</v>
      </c>
      <c r="D139" s="2">
        <v>3.9999999999999998E-6</v>
      </c>
      <c r="E139" s="2"/>
      <c r="F139" s="2"/>
      <c r="J139">
        <v>400</v>
      </c>
      <c r="K139" s="2">
        <v>5.3000000000000001E-7</v>
      </c>
      <c r="L139" s="2">
        <v>1.6E-7</v>
      </c>
      <c r="M139" s="2"/>
      <c r="N139" s="2"/>
      <c r="O139" s="2"/>
    </row>
    <row r="140" spans="2:15" x14ac:dyDescent="0.3">
      <c r="B140">
        <v>410</v>
      </c>
      <c r="C140" s="2">
        <v>1.2999999999999999E-5</v>
      </c>
      <c r="D140" s="2">
        <v>3.8999999999999999E-6</v>
      </c>
      <c r="E140" s="2"/>
      <c r="F140" s="2"/>
      <c r="J140">
        <v>410</v>
      </c>
      <c r="K140" s="2">
        <v>5.0999999999999999E-7</v>
      </c>
      <c r="L140" s="2">
        <v>1.4999999999999999E-7</v>
      </c>
      <c r="M140" s="2"/>
      <c r="N140" s="2"/>
      <c r="O140" s="2"/>
    </row>
    <row r="141" spans="2:15" x14ac:dyDescent="0.3">
      <c r="B141">
        <v>420</v>
      </c>
      <c r="C141" s="2">
        <v>1.2E-5</v>
      </c>
      <c r="D141" s="2">
        <v>3.7000000000000002E-6</v>
      </c>
      <c r="E141" s="2"/>
      <c r="F141" s="2"/>
      <c r="J141">
        <v>420</v>
      </c>
      <c r="K141" s="2">
        <v>4.8999999999999997E-7</v>
      </c>
      <c r="L141" s="2">
        <v>1.4999999999999999E-7</v>
      </c>
      <c r="M141" s="2"/>
      <c r="N141" s="2"/>
      <c r="O141" s="2"/>
    </row>
    <row r="142" spans="2:15" x14ac:dyDescent="0.3">
      <c r="B142">
        <v>430</v>
      </c>
      <c r="C142" s="2">
        <v>1.2E-5</v>
      </c>
      <c r="D142" s="2">
        <v>3.5999999999999998E-6</v>
      </c>
      <c r="E142" s="2"/>
      <c r="F142" s="2"/>
      <c r="J142">
        <v>430</v>
      </c>
      <c r="K142" s="2">
        <v>4.7E-7</v>
      </c>
      <c r="L142" s="2">
        <v>1.4000000000000001E-7</v>
      </c>
      <c r="M142" s="2"/>
      <c r="N142" s="2"/>
      <c r="O142" s="2"/>
    </row>
    <row r="143" spans="2:15" x14ac:dyDescent="0.3">
      <c r="B143">
        <v>440</v>
      </c>
      <c r="C143" s="2">
        <v>1.1E-5</v>
      </c>
      <c r="D143" s="2">
        <v>3.4999999999999999E-6</v>
      </c>
      <c r="E143" s="2"/>
      <c r="F143" s="2"/>
      <c r="J143">
        <v>440</v>
      </c>
      <c r="K143" s="2">
        <v>4.4999999999999998E-7</v>
      </c>
      <c r="L143" s="2">
        <v>1.4000000000000001E-7</v>
      </c>
      <c r="M143" s="2"/>
      <c r="N143" s="2"/>
      <c r="O143" s="2"/>
    </row>
    <row r="144" spans="2:15" x14ac:dyDescent="0.3">
      <c r="B144">
        <v>450</v>
      </c>
      <c r="C144" s="2">
        <v>1.1E-5</v>
      </c>
      <c r="D144" s="2">
        <v>3.3000000000000002E-6</v>
      </c>
      <c r="E144" s="2"/>
      <c r="F144" s="2"/>
      <c r="J144">
        <v>450</v>
      </c>
      <c r="K144" s="2">
        <v>4.4000000000000002E-7</v>
      </c>
      <c r="L144" s="2">
        <v>1.3E-7</v>
      </c>
      <c r="M144" s="2"/>
      <c r="N144" s="2"/>
      <c r="O144" s="2"/>
    </row>
    <row r="145" spans="2:15" x14ac:dyDescent="0.3">
      <c r="B145">
        <v>460</v>
      </c>
      <c r="C145" s="2">
        <v>1.1E-5</v>
      </c>
      <c r="D145" s="2">
        <v>3.1999999999999999E-6</v>
      </c>
      <c r="E145" s="2"/>
      <c r="F145" s="2"/>
      <c r="J145">
        <v>460</v>
      </c>
      <c r="K145" s="2">
        <v>4.2E-7</v>
      </c>
      <c r="L145" s="2">
        <v>1.3E-7</v>
      </c>
      <c r="M145" s="2"/>
      <c r="N145" s="2"/>
      <c r="O145" s="2"/>
    </row>
    <row r="146" spans="2:15" x14ac:dyDescent="0.3">
      <c r="B146">
        <v>470</v>
      </c>
      <c r="C146" s="2">
        <v>1.0000000000000001E-5</v>
      </c>
      <c r="D146" s="2">
        <v>3.1E-6</v>
      </c>
      <c r="E146" s="2"/>
      <c r="F146" s="2"/>
      <c r="J146">
        <v>470</v>
      </c>
      <c r="K146" s="2">
        <v>4.0999999999999999E-7</v>
      </c>
      <c r="L146" s="2">
        <v>1.1999999999999999E-7</v>
      </c>
      <c r="M146" s="2"/>
      <c r="N146" s="2"/>
      <c r="O146" s="2"/>
    </row>
    <row r="147" spans="2:15" x14ac:dyDescent="0.3">
      <c r="B147">
        <v>480</v>
      </c>
      <c r="C147" s="2">
        <v>9.9000000000000001E-6</v>
      </c>
      <c r="D147" s="2">
        <v>3.0000000000000001E-6</v>
      </c>
      <c r="E147" s="2"/>
      <c r="F147" s="2"/>
      <c r="J147">
        <v>480</v>
      </c>
      <c r="K147" s="2">
        <v>3.9999999999999998E-7</v>
      </c>
      <c r="L147" s="2">
        <v>1.1999999999999999E-7</v>
      </c>
      <c r="M147" s="2"/>
      <c r="N147" s="2"/>
      <c r="O147" s="2"/>
    </row>
    <row r="148" spans="2:15" x14ac:dyDescent="0.3">
      <c r="B148">
        <v>490</v>
      </c>
      <c r="C148" s="2">
        <v>9.5999999999999996E-6</v>
      </c>
      <c r="D148" s="2">
        <v>2.9000000000000002E-6</v>
      </c>
      <c r="E148" s="2"/>
      <c r="F148" s="2"/>
      <c r="J148">
        <v>490</v>
      </c>
      <c r="K148" s="2">
        <v>3.8000000000000001E-7</v>
      </c>
      <c r="L148" s="2">
        <v>1.1999999999999999E-7</v>
      </c>
      <c r="M148" s="2"/>
      <c r="N148" s="2"/>
      <c r="O148" s="2"/>
    </row>
    <row r="149" spans="2:15" x14ac:dyDescent="0.3">
      <c r="B149">
        <v>500</v>
      </c>
      <c r="C149" s="2">
        <v>9.3000000000000007E-6</v>
      </c>
      <c r="D149" s="2">
        <v>2.7999999999999999E-6</v>
      </c>
      <c r="E149" s="2"/>
      <c r="F149" s="2"/>
      <c r="J149">
        <v>500</v>
      </c>
      <c r="K149" s="2">
        <v>3.7E-7</v>
      </c>
      <c r="L149" s="2">
        <v>1.1000000000000001E-7</v>
      </c>
      <c r="M149" s="2"/>
      <c r="N149" s="2"/>
      <c r="O149" s="2"/>
    </row>
    <row r="150" spans="2:15" x14ac:dyDescent="0.3">
      <c r="B150">
        <v>510</v>
      </c>
      <c r="C150" s="2">
        <v>9.0000000000000002E-6</v>
      </c>
      <c r="D150" s="2">
        <v>2.7E-6</v>
      </c>
      <c r="E150" s="2"/>
      <c r="F150" s="2"/>
      <c r="J150">
        <v>510</v>
      </c>
      <c r="K150" s="2">
        <v>3.5999999999999999E-7</v>
      </c>
      <c r="L150" s="2">
        <v>1.1000000000000001E-7</v>
      </c>
      <c r="M150" s="2"/>
      <c r="N150" s="2"/>
      <c r="O150" s="2"/>
    </row>
    <row r="151" spans="2:15" x14ac:dyDescent="0.3">
      <c r="B151">
        <v>520</v>
      </c>
      <c r="C151" s="2">
        <v>8.8000000000000004E-6</v>
      </c>
      <c r="D151" s="2">
        <v>2.7E-6</v>
      </c>
      <c r="E151" s="2"/>
      <c r="F151" s="2"/>
      <c r="J151">
        <v>520</v>
      </c>
      <c r="K151" s="2">
        <v>3.4999999999999998E-7</v>
      </c>
      <c r="L151" s="2">
        <v>1.1000000000000001E-7</v>
      </c>
      <c r="M151" s="2"/>
      <c r="N151" s="2"/>
      <c r="O151" s="2"/>
    </row>
    <row r="152" spans="2:15" x14ac:dyDescent="0.3">
      <c r="B152">
        <v>530</v>
      </c>
      <c r="C152" s="2">
        <v>8.4999999999999999E-6</v>
      </c>
      <c r="D152" s="2">
        <v>2.6000000000000001E-6</v>
      </c>
      <c r="E152" s="2"/>
      <c r="F152" s="2"/>
      <c r="J152">
        <v>530</v>
      </c>
      <c r="K152" s="2">
        <v>3.3999999999999997E-7</v>
      </c>
      <c r="L152" s="2">
        <v>9.9999999999999995E-8</v>
      </c>
      <c r="M152" s="2"/>
      <c r="N152" s="2"/>
      <c r="O152" s="2"/>
    </row>
    <row r="153" spans="2:15" x14ac:dyDescent="0.3">
      <c r="B153">
        <v>540</v>
      </c>
      <c r="C153" s="2">
        <v>8.3000000000000002E-6</v>
      </c>
      <c r="D153" s="2">
        <v>2.5000000000000002E-6</v>
      </c>
      <c r="E153" s="2"/>
      <c r="F153" s="2"/>
      <c r="J153">
        <v>540</v>
      </c>
      <c r="K153" s="2">
        <v>3.3000000000000002E-7</v>
      </c>
      <c r="L153" s="2">
        <v>9.9999999999999995E-8</v>
      </c>
      <c r="M153" s="2"/>
      <c r="N153" s="2"/>
      <c r="O153" s="2"/>
    </row>
    <row r="154" spans="2:15" x14ac:dyDescent="0.3">
      <c r="B154">
        <v>550</v>
      </c>
      <c r="C154" s="2">
        <v>8.1000000000000004E-6</v>
      </c>
      <c r="D154" s="2">
        <v>2.5000000000000002E-6</v>
      </c>
      <c r="E154" s="2"/>
      <c r="F154" s="2"/>
      <c r="J154">
        <v>550</v>
      </c>
      <c r="K154" s="2">
        <v>3.2000000000000001E-7</v>
      </c>
      <c r="L154" s="2">
        <v>9.9E-8</v>
      </c>
      <c r="M154" s="2"/>
      <c r="N154" s="2"/>
      <c r="O154" s="2"/>
    </row>
    <row r="155" spans="2:15" x14ac:dyDescent="0.3">
      <c r="B155">
        <v>560</v>
      </c>
      <c r="C155" s="2">
        <v>7.9000000000000006E-6</v>
      </c>
      <c r="D155" s="2">
        <v>2.3999999999999999E-6</v>
      </c>
      <c r="E155" s="2"/>
      <c r="F155" s="2"/>
      <c r="J155">
        <v>560</v>
      </c>
      <c r="K155" s="2">
        <v>3.2000000000000001E-7</v>
      </c>
      <c r="L155" s="2">
        <v>9.5999999999999999E-8</v>
      </c>
      <c r="M155" s="2"/>
      <c r="N155" s="2"/>
      <c r="O155" s="2"/>
    </row>
    <row r="156" spans="2:15" x14ac:dyDescent="0.3">
      <c r="B156">
        <v>570</v>
      </c>
      <c r="C156" s="2">
        <v>7.7000000000000008E-6</v>
      </c>
      <c r="D156" s="2">
        <v>2.3999999999999999E-6</v>
      </c>
      <c r="E156" s="2"/>
      <c r="F156" s="2"/>
      <c r="J156">
        <v>570</v>
      </c>
      <c r="K156" s="2">
        <v>3.1E-7</v>
      </c>
      <c r="L156" s="2">
        <v>9.3999999999999995E-8</v>
      </c>
      <c r="M156" s="2"/>
      <c r="N156" s="2"/>
      <c r="O156" s="2"/>
    </row>
    <row r="157" spans="2:15" x14ac:dyDescent="0.3">
      <c r="B157">
        <v>580</v>
      </c>
      <c r="C157" s="2">
        <v>7.6000000000000001E-6</v>
      </c>
      <c r="D157" s="2">
        <v>2.3E-6</v>
      </c>
      <c r="E157" s="2"/>
      <c r="F157" s="2"/>
      <c r="J157">
        <v>580</v>
      </c>
      <c r="K157" s="2">
        <v>2.9999999999999999E-7</v>
      </c>
      <c r="L157" s="2">
        <v>9.2000000000000003E-8</v>
      </c>
      <c r="M157" s="2"/>
      <c r="N157" s="2"/>
      <c r="O157" s="2"/>
    </row>
    <row r="158" spans="2:15" x14ac:dyDescent="0.3">
      <c r="B158">
        <v>590</v>
      </c>
      <c r="C158" s="2">
        <v>7.4000000000000003E-6</v>
      </c>
      <c r="D158" s="2">
        <v>2.3E-6</v>
      </c>
      <c r="E158" s="2"/>
      <c r="F158" s="2"/>
      <c r="J158">
        <v>590</v>
      </c>
      <c r="K158" s="2">
        <v>2.9999999999999999E-7</v>
      </c>
      <c r="L158" s="2">
        <v>8.9999999999999999E-8</v>
      </c>
      <c r="M158" s="2"/>
      <c r="N158" s="2"/>
      <c r="O158" s="2"/>
    </row>
    <row r="159" spans="2:15" x14ac:dyDescent="0.3">
      <c r="B159">
        <v>600</v>
      </c>
      <c r="C159" s="2">
        <v>7.1999999999999997E-6</v>
      </c>
      <c r="D159" s="2">
        <v>2.2000000000000001E-6</v>
      </c>
      <c r="E159" s="2"/>
      <c r="F159" s="2"/>
      <c r="J159">
        <v>600</v>
      </c>
      <c r="K159" s="2">
        <v>2.8999999999999998E-7</v>
      </c>
      <c r="L159" s="2">
        <v>8.7999999999999994E-8</v>
      </c>
      <c r="M159" s="2"/>
      <c r="N159" s="2"/>
      <c r="O159" s="2"/>
    </row>
    <row r="160" spans="2:15" x14ac:dyDescent="0.3">
      <c r="B160">
        <v>610</v>
      </c>
      <c r="C160" s="2">
        <v>7.0999999999999998E-6</v>
      </c>
      <c r="D160" s="2">
        <v>2.2000000000000001E-6</v>
      </c>
      <c r="E160" s="2"/>
      <c r="F160" s="2"/>
      <c r="J160">
        <v>610</v>
      </c>
      <c r="K160" s="2">
        <v>2.8000000000000002E-7</v>
      </c>
      <c r="L160" s="2">
        <v>8.6000000000000002E-8</v>
      </c>
      <c r="M160" s="2"/>
      <c r="N160" s="2"/>
      <c r="O160" s="2"/>
    </row>
    <row r="161" spans="2:15" x14ac:dyDescent="0.3">
      <c r="B161">
        <v>620</v>
      </c>
      <c r="C161" s="2">
        <v>6.9999999999999999E-6</v>
      </c>
      <c r="D161" s="2">
        <v>2.0999999999999998E-6</v>
      </c>
      <c r="E161" s="2"/>
      <c r="F161" s="2"/>
      <c r="J161">
        <v>620</v>
      </c>
      <c r="K161" s="2">
        <v>2.8000000000000002E-7</v>
      </c>
      <c r="L161" s="2">
        <v>8.4999999999999994E-8</v>
      </c>
      <c r="M161" s="2"/>
      <c r="N161" s="2"/>
      <c r="O161" s="2"/>
    </row>
    <row r="162" spans="2:15" x14ac:dyDescent="0.3">
      <c r="B162">
        <v>630</v>
      </c>
      <c r="C162" s="2">
        <v>6.8000000000000001E-6</v>
      </c>
      <c r="D162" s="2">
        <v>2.0999999999999998E-6</v>
      </c>
      <c r="E162" s="2"/>
      <c r="F162" s="2"/>
      <c r="J162">
        <v>630</v>
      </c>
      <c r="K162" s="2">
        <v>2.7000000000000001E-7</v>
      </c>
      <c r="L162" s="2">
        <v>8.3000000000000002E-8</v>
      </c>
      <c r="M162" s="2"/>
      <c r="N162" s="2"/>
      <c r="O162" s="2"/>
    </row>
    <row r="163" spans="2:15" x14ac:dyDescent="0.3">
      <c r="B163">
        <v>640</v>
      </c>
      <c r="C163" s="2">
        <v>6.7000000000000002E-6</v>
      </c>
      <c r="D163" s="2">
        <v>1.9999999999999999E-6</v>
      </c>
      <c r="E163" s="2"/>
      <c r="F163" s="2"/>
      <c r="J163">
        <v>640</v>
      </c>
      <c r="K163" s="2">
        <v>2.7000000000000001E-7</v>
      </c>
      <c r="L163" s="2">
        <v>8.2000000000000006E-8</v>
      </c>
      <c r="M163" s="2"/>
      <c r="N163" s="2"/>
      <c r="O163" s="2"/>
    </row>
    <row r="164" spans="2:15" x14ac:dyDescent="0.3">
      <c r="B164">
        <v>650</v>
      </c>
      <c r="C164" s="2">
        <v>6.6000000000000003E-6</v>
      </c>
      <c r="D164" s="2">
        <v>1.9999999999999999E-6</v>
      </c>
      <c r="E164" s="2"/>
      <c r="F164" s="2"/>
      <c r="J164">
        <v>650</v>
      </c>
      <c r="K164" s="2">
        <v>2.6E-7</v>
      </c>
      <c r="L164" s="2">
        <v>8.0000000000000002E-8</v>
      </c>
      <c r="M164" s="2"/>
      <c r="N164" s="2"/>
      <c r="O164" s="2"/>
    </row>
    <row r="165" spans="2:15" x14ac:dyDescent="0.3">
      <c r="B165">
        <v>660</v>
      </c>
      <c r="C165" s="2">
        <v>6.4999999999999996E-6</v>
      </c>
      <c r="D165" s="2">
        <v>1.9999999999999999E-6</v>
      </c>
      <c r="E165" s="2"/>
      <c r="F165" s="2"/>
      <c r="J165">
        <v>660</v>
      </c>
      <c r="K165" s="2">
        <v>2.6E-7</v>
      </c>
      <c r="L165" s="2">
        <v>7.9000000000000006E-8</v>
      </c>
      <c r="M165" s="2"/>
      <c r="N165" s="2"/>
      <c r="O165" s="2"/>
    </row>
    <row r="166" spans="2:15" x14ac:dyDescent="0.3">
      <c r="B166">
        <v>670</v>
      </c>
      <c r="C166" s="2">
        <v>6.3999999999999997E-6</v>
      </c>
      <c r="D166" s="2">
        <v>1.9E-6</v>
      </c>
      <c r="E166" s="2"/>
      <c r="F166" s="2"/>
      <c r="J166">
        <v>670</v>
      </c>
      <c r="K166" s="2">
        <v>2.6E-7</v>
      </c>
      <c r="L166" s="2">
        <v>7.7999999999999997E-8</v>
      </c>
      <c r="M166" s="2"/>
      <c r="N166" s="2"/>
      <c r="O166" s="2"/>
    </row>
    <row r="167" spans="2:15" x14ac:dyDescent="0.3">
      <c r="B167">
        <v>680</v>
      </c>
      <c r="C167" s="2">
        <v>6.2999999999999998E-6</v>
      </c>
      <c r="D167" s="2">
        <v>1.9E-6</v>
      </c>
      <c r="E167" s="2"/>
      <c r="F167" s="2"/>
      <c r="J167">
        <v>680</v>
      </c>
      <c r="K167" s="2">
        <v>2.4999999999999999E-7</v>
      </c>
      <c r="L167" s="2">
        <v>7.7000000000000001E-8</v>
      </c>
      <c r="M167" s="2"/>
      <c r="N167" s="2"/>
      <c r="O167" s="2"/>
    </row>
    <row r="168" spans="2:15" x14ac:dyDescent="0.3">
      <c r="B168">
        <v>690</v>
      </c>
      <c r="C168" s="2">
        <v>6.1999999999999999E-6</v>
      </c>
      <c r="D168" s="2">
        <v>1.9E-6</v>
      </c>
      <c r="E168" s="2"/>
      <c r="F168" s="2"/>
      <c r="J168">
        <v>690</v>
      </c>
      <c r="K168" s="2">
        <v>2.4999999999999999E-7</v>
      </c>
      <c r="L168" s="2">
        <v>7.6000000000000006E-8</v>
      </c>
      <c r="M168" s="2"/>
      <c r="N168" s="2"/>
      <c r="O168" s="2"/>
    </row>
    <row r="169" spans="2:15" x14ac:dyDescent="0.3">
      <c r="B169">
        <v>700</v>
      </c>
      <c r="C169" s="2">
        <v>6.1E-6</v>
      </c>
      <c r="D169" s="2">
        <v>1.9E-6</v>
      </c>
      <c r="E169" s="2"/>
      <c r="F169" s="2"/>
      <c r="J169">
        <v>700</v>
      </c>
      <c r="K169" s="2">
        <v>2.4999999999999999E-7</v>
      </c>
      <c r="L169" s="2">
        <v>7.4999999999999997E-8</v>
      </c>
      <c r="M169" s="2"/>
      <c r="N169" s="2"/>
      <c r="O169" s="2"/>
    </row>
    <row r="170" spans="2:15" x14ac:dyDescent="0.3">
      <c r="B170">
        <v>710</v>
      </c>
      <c r="C170" s="2">
        <v>6.0000000000000002E-6</v>
      </c>
      <c r="D170" s="2">
        <v>1.7999999999999999E-6</v>
      </c>
      <c r="E170" s="2"/>
      <c r="F170" s="2"/>
      <c r="J170">
        <v>710</v>
      </c>
      <c r="K170" s="2">
        <v>2.3999999999999998E-7</v>
      </c>
      <c r="L170" s="2">
        <v>7.4000000000000001E-8</v>
      </c>
      <c r="M170" s="2"/>
      <c r="N170" s="2"/>
      <c r="O170" s="2"/>
    </row>
    <row r="171" spans="2:15" x14ac:dyDescent="0.3">
      <c r="B171">
        <v>720</v>
      </c>
      <c r="C171" s="2">
        <v>6.0000000000000002E-6</v>
      </c>
      <c r="D171" s="2">
        <v>1.7999999999999999E-6</v>
      </c>
      <c r="E171" s="2"/>
      <c r="F171" s="2"/>
      <c r="J171">
        <v>720</v>
      </c>
      <c r="K171" s="2">
        <v>2.3999999999999998E-7</v>
      </c>
      <c r="L171" s="2">
        <v>7.3000000000000005E-8</v>
      </c>
      <c r="M171" s="2"/>
      <c r="N171" s="2"/>
      <c r="O171" s="2"/>
    </row>
    <row r="172" spans="2:15" x14ac:dyDescent="0.3">
      <c r="B172">
        <v>730</v>
      </c>
      <c r="C172" s="2">
        <v>5.9000000000000003E-6</v>
      </c>
      <c r="D172" s="2">
        <v>1.7999999999999999E-6</v>
      </c>
      <c r="E172" s="2"/>
      <c r="F172" s="2"/>
      <c r="J172">
        <v>730</v>
      </c>
      <c r="K172" s="2">
        <v>2.3999999999999998E-7</v>
      </c>
      <c r="L172" s="2">
        <v>7.1999999999999996E-8</v>
      </c>
      <c r="M172" s="2"/>
      <c r="N172" s="2"/>
      <c r="O172" s="2"/>
    </row>
    <row r="173" spans="2:15" x14ac:dyDescent="0.3">
      <c r="B173">
        <v>740</v>
      </c>
      <c r="C173" s="2">
        <v>5.8000000000000004E-6</v>
      </c>
      <c r="D173" s="2">
        <v>1.7999999999999999E-6</v>
      </c>
      <c r="E173" s="2"/>
      <c r="F173" s="2"/>
      <c r="J173">
        <v>740</v>
      </c>
      <c r="K173" s="2">
        <v>2.2999999999999999E-7</v>
      </c>
      <c r="L173" s="2">
        <v>7.1E-8</v>
      </c>
      <c r="M173" s="2"/>
      <c r="N173" s="2"/>
      <c r="O173" s="2"/>
    </row>
    <row r="174" spans="2:15" x14ac:dyDescent="0.3">
      <c r="B174">
        <v>750</v>
      </c>
      <c r="C174" s="2">
        <v>5.8000000000000004E-6</v>
      </c>
      <c r="D174" s="2">
        <v>1.7E-6</v>
      </c>
      <c r="E174" s="2"/>
      <c r="F174" s="2"/>
      <c r="J174">
        <v>750</v>
      </c>
      <c r="K174" s="2">
        <v>2.2999999999999999E-7</v>
      </c>
      <c r="L174" s="2">
        <v>7.0000000000000005E-8</v>
      </c>
      <c r="M174" s="2"/>
      <c r="N174" s="2"/>
      <c r="O174" s="2"/>
    </row>
    <row r="175" spans="2:15" x14ac:dyDescent="0.3">
      <c r="B175">
        <v>760</v>
      </c>
      <c r="C175" s="2">
        <v>5.6999999999999996E-6</v>
      </c>
      <c r="D175" s="2">
        <v>1.7E-6</v>
      </c>
      <c r="E175" s="2"/>
      <c r="F175" s="2"/>
      <c r="J175">
        <v>760</v>
      </c>
      <c r="K175" s="2">
        <v>2.2999999999999999E-7</v>
      </c>
      <c r="L175" s="2">
        <v>6.8999999999999996E-8</v>
      </c>
      <c r="M175" s="2"/>
      <c r="N175" s="2"/>
      <c r="O175" s="2"/>
    </row>
    <row r="176" spans="2:15" x14ac:dyDescent="0.3">
      <c r="B176">
        <v>770</v>
      </c>
      <c r="C176" s="2">
        <v>5.5999999999999997E-6</v>
      </c>
      <c r="D176" s="2">
        <v>1.7E-6</v>
      </c>
      <c r="E176" s="2"/>
      <c r="F176" s="2"/>
      <c r="J176">
        <v>770</v>
      </c>
      <c r="K176" s="2">
        <v>2.2999999999999999E-7</v>
      </c>
      <c r="L176" s="2">
        <v>6.8E-8</v>
      </c>
      <c r="M176" s="2"/>
      <c r="N176" s="2"/>
      <c r="O176" s="2"/>
    </row>
    <row r="177" spans="2:15" x14ac:dyDescent="0.3">
      <c r="B177">
        <v>780</v>
      </c>
      <c r="C177" s="2">
        <v>5.5999999999999997E-6</v>
      </c>
      <c r="D177" s="2">
        <v>1.7E-6</v>
      </c>
      <c r="E177" s="2"/>
      <c r="F177" s="2"/>
      <c r="J177">
        <v>780</v>
      </c>
      <c r="K177" s="2">
        <v>2.2000000000000001E-7</v>
      </c>
      <c r="L177" s="2">
        <v>6.8E-8</v>
      </c>
      <c r="M177" s="2"/>
      <c r="N177" s="2"/>
      <c r="O177" s="2"/>
    </row>
    <row r="178" spans="2:15" x14ac:dyDescent="0.3">
      <c r="B178">
        <v>790</v>
      </c>
      <c r="C178" s="2">
        <v>5.4999999999999999E-6</v>
      </c>
      <c r="D178" s="2">
        <v>1.7E-6</v>
      </c>
      <c r="E178" s="2"/>
      <c r="F178" s="2"/>
      <c r="J178">
        <v>790</v>
      </c>
      <c r="K178" s="2">
        <v>2.2000000000000001E-7</v>
      </c>
      <c r="L178" s="2">
        <v>6.7000000000000004E-8</v>
      </c>
      <c r="M178" s="2"/>
      <c r="N178" s="2"/>
      <c r="O178" s="2"/>
    </row>
    <row r="179" spans="2:15" x14ac:dyDescent="0.3">
      <c r="B179">
        <v>800</v>
      </c>
      <c r="C179" s="2">
        <v>5.4999999999999999E-6</v>
      </c>
      <c r="D179" s="2">
        <v>1.7E-6</v>
      </c>
      <c r="E179" s="2"/>
      <c r="F179" s="2"/>
      <c r="J179">
        <v>800</v>
      </c>
      <c r="K179" s="2">
        <v>2.2000000000000001E-7</v>
      </c>
      <c r="L179" s="2">
        <v>6.5999999999999995E-8</v>
      </c>
      <c r="M179" s="2"/>
      <c r="N179" s="2"/>
      <c r="O179" s="2"/>
    </row>
    <row r="180" spans="2:15" x14ac:dyDescent="0.3">
      <c r="B180">
        <v>810</v>
      </c>
      <c r="C180" s="2">
        <v>5.4E-6</v>
      </c>
      <c r="D180" s="2">
        <v>1.5999999999999999E-6</v>
      </c>
      <c r="E180" s="2"/>
      <c r="F180" s="2"/>
      <c r="J180">
        <v>810</v>
      </c>
      <c r="K180" s="2">
        <v>2.2000000000000001E-7</v>
      </c>
      <c r="L180" s="2">
        <v>6.5999999999999995E-8</v>
      </c>
      <c r="M180" s="2"/>
      <c r="N180" s="2"/>
      <c r="O180" s="2"/>
    </row>
    <row r="181" spans="2:15" x14ac:dyDescent="0.3">
      <c r="B181">
        <v>820</v>
      </c>
      <c r="C181" s="2">
        <v>5.4E-6</v>
      </c>
      <c r="D181" s="2">
        <v>1.5999999999999999E-6</v>
      </c>
      <c r="E181" s="2"/>
      <c r="F181" s="2"/>
      <c r="J181">
        <v>820</v>
      </c>
      <c r="K181" s="2">
        <v>2.1E-7</v>
      </c>
      <c r="L181" s="2">
        <v>6.5E-8</v>
      </c>
      <c r="M181" s="2"/>
      <c r="N181" s="2"/>
      <c r="O181" s="2"/>
    </row>
    <row r="182" spans="2:15" x14ac:dyDescent="0.3">
      <c r="B182">
        <v>830</v>
      </c>
      <c r="C182" s="2">
        <v>5.3000000000000001E-6</v>
      </c>
      <c r="D182" s="2">
        <v>1.5999999999999999E-6</v>
      </c>
      <c r="E182" s="2"/>
      <c r="F182" s="2"/>
      <c r="J182">
        <v>830</v>
      </c>
      <c r="K182" s="2">
        <v>2.1E-7</v>
      </c>
      <c r="L182" s="2">
        <v>6.5E-8</v>
      </c>
      <c r="M182" s="2"/>
      <c r="N182" s="2"/>
      <c r="O182" s="2"/>
    </row>
    <row r="183" spans="2:15" x14ac:dyDescent="0.3">
      <c r="B183">
        <v>840</v>
      </c>
      <c r="C183" s="2">
        <v>5.3000000000000001E-6</v>
      </c>
      <c r="D183" s="2">
        <v>1.5999999999999999E-6</v>
      </c>
      <c r="E183" s="2"/>
      <c r="F183" s="2"/>
      <c r="J183">
        <v>840</v>
      </c>
      <c r="K183" s="2">
        <v>2.1E-7</v>
      </c>
      <c r="L183" s="2">
        <v>6.4000000000000004E-8</v>
      </c>
      <c r="M183" s="2"/>
      <c r="N183" s="2"/>
      <c r="O183" s="2"/>
    </row>
    <row r="184" spans="2:15" x14ac:dyDescent="0.3">
      <c r="B184">
        <v>850</v>
      </c>
      <c r="C184" s="2">
        <v>5.2000000000000002E-6</v>
      </c>
      <c r="D184" s="2">
        <v>1.5999999999999999E-6</v>
      </c>
      <c r="E184" s="2"/>
      <c r="F184" s="2"/>
      <c r="J184">
        <v>850</v>
      </c>
      <c r="K184" s="2">
        <v>2.1E-7</v>
      </c>
      <c r="L184" s="2">
        <v>6.4000000000000004E-8</v>
      </c>
      <c r="M184" s="2"/>
      <c r="N184" s="2"/>
      <c r="O184" s="2"/>
    </row>
    <row r="185" spans="2:15" x14ac:dyDescent="0.3">
      <c r="B185">
        <v>860</v>
      </c>
      <c r="C185" s="2">
        <v>5.2000000000000002E-6</v>
      </c>
      <c r="D185" s="2">
        <v>1.5999999999999999E-6</v>
      </c>
      <c r="E185" s="2"/>
      <c r="F185" s="2"/>
      <c r="J185">
        <v>860</v>
      </c>
      <c r="K185" s="2">
        <v>2.1E-7</v>
      </c>
      <c r="L185" s="2">
        <v>6.2999999999999995E-8</v>
      </c>
      <c r="M185" s="2"/>
      <c r="N185" s="2"/>
      <c r="O185" s="2"/>
    </row>
    <row r="186" spans="2:15" x14ac:dyDescent="0.3">
      <c r="B186">
        <v>870</v>
      </c>
      <c r="C186" s="2">
        <v>5.1000000000000003E-6</v>
      </c>
      <c r="D186" s="2">
        <v>1.5999999999999999E-6</v>
      </c>
      <c r="E186" s="2"/>
      <c r="F186" s="2"/>
      <c r="J186">
        <v>870</v>
      </c>
      <c r="K186" s="2">
        <v>2.1E-7</v>
      </c>
      <c r="L186" s="2">
        <v>6.2999999999999995E-8</v>
      </c>
      <c r="M186" s="2"/>
      <c r="N186" s="2"/>
      <c r="O186" s="2"/>
    </row>
    <row r="187" spans="2:15" x14ac:dyDescent="0.3">
      <c r="B187">
        <v>880</v>
      </c>
      <c r="C187" s="2">
        <v>5.1000000000000003E-6</v>
      </c>
      <c r="D187" s="2">
        <v>1.5999999999999999E-6</v>
      </c>
      <c r="E187" s="2"/>
      <c r="F187" s="2"/>
      <c r="J187">
        <v>880</v>
      </c>
      <c r="K187" s="2">
        <v>1.9999999999999999E-7</v>
      </c>
      <c r="L187" s="2">
        <v>6.1999999999999999E-8</v>
      </c>
      <c r="M187" s="2"/>
      <c r="N187" s="2"/>
      <c r="O187" s="2"/>
    </row>
    <row r="188" spans="2:15" x14ac:dyDescent="0.3">
      <c r="B188">
        <v>890</v>
      </c>
      <c r="C188" s="2">
        <v>5.1000000000000003E-6</v>
      </c>
      <c r="D188" s="2">
        <v>1.5E-6</v>
      </c>
      <c r="E188" s="2"/>
      <c r="F188" s="2"/>
      <c r="J188">
        <v>890</v>
      </c>
      <c r="K188" s="2">
        <v>1.9999999999999999E-7</v>
      </c>
      <c r="L188" s="2">
        <v>6.1999999999999999E-8</v>
      </c>
      <c r="M188" s="2"/>
      <c r="N188" s="2"/>
      <c r="O188" s="2"/>
    </row>
    <row r="189" spans="2:15" x14ac:dyDescent="0.3">
      <c r="B189">
        <v>900</v>
      </c>
      <c r="C189" s="2">
        <v>5.0000000000000004E-6</v>
      </c>
      <c r="D189" s="2">
        <v>1.5E-6</v>
      </c>
      <c r="E189" s="2"/>
      <c r="F189" s="2"/>
      <c r="J189">
        <v>900</v>
      </c>
      <c r="K189" s="2">
        <v>1.9999999999999999E-7</v>
      </c>
      <c r="L189" s="2">
        <v>6.1000000000000004E-8</v>
      </c>
      <c r="M189" s="2"/>
      <c r="N189" s="2"/>
      <c r="O189" s="2"/>
    </row>
    <row r="190" spans="2:15" x14ac:dyDescent="0.3">
      <c r="B190">
        <v>910</v>
      </c>
      <c r="C190" s="2">
        <v>5.0000000000000004E-6</v>
      </c>
      <c r="D190" s="2">
        <v>1.5E-6</v>
      </c>
      <c r="E190" s="2"/>
      <c r="F190" s="2"/>
      <c r="J190">
        <v>910</v>
      </c>
      <c r="K190" s="2">
        <v>1.9999999999999999E-7</v>
      </c>
      <c r="L190" s="2">
        <v>6.1000000000000004E-8</v>
      </c>
      <c r="M190" s="2"/>
      <c r="N190" s="2"/>
      <c r="O190" s="2"/>
    </row>
    <row r="191" spans="2:15" x14ac:dyDescent="0.3">
      <c r="B191">
        <v>920</v>
      </c>
      <c r="C191" s="2">
        <v>5.0000000000000004E-6</v>
      </c>
      <c r="D191" s="2">
        <v>1.5E-6</v>
      </c>
      <c r="E191" s="2"/>
      <c r="F191" s="2"/>
      <c r="J191">
        <v>920</v>
      </c>
      <c r="K191" s="2">
        <v>1.9999999999999999E-7</v>
      </c>
      <c r="L191" s="2">
        <v>5.9999999999999995E-8</v>
      </c>
      <c r="M191" s="2"/>
      <c r="N191" s="2"/>
      <c r="O191" s="2"/>
    </row>
    <row r="192" spans="2:15" x14ac:dyDescent="0.3">
      <c r="B192">
        <v>930</v>
      </c>
      <c r="C192" s="2">
        <v>4.8999999999999997E-6</v>
      </c>
      <c r="D192" s="2">
        <v>1.5E-6</v>
      </c>
      <c r="E192" s="2"/>
      <c r="F192" s="2"/>
      <c r="J192">
        <v>930</v>
      </c>
      <c r="K192" s="2">
        <v>1.9999999999999999E-7</v>
      </c>
      <c r="L192" s="2">
        <v>5.9999999999999995E-8</v>
      </c>
      <c r="M192" s="2"/>
      <c r="N192" s="2"/>
      <c r="O192" s="2"/>
    </row>
    <row r="193" spans="2:15" x14ac:dyDescent="0.3">
      <c r="B193">
        <v>940</v>
      </c>
      <c r="C193" s="2">
        <v>4.8999999999999997E-6</v>
      </c>
      <c r="D193" s="2">
        <v>1.5E-6</v>
      </c>
      <c r="E193" s="2"/>
      <c r="F193" s="2"/>
      <c r="J193">
        <v>940</v>
      </c>
      <c r="K193" s="2">
        <v>1.9999999999999999E-7</v>
      </c>
      <c r="L193" s="2">
        <v>5.8999999999999999E-8</v>
      </c>
      <c r="M193" s="2"/>
      <c r="N193" s="2"/>
      <c r="O193" s="2"/>
    </row>
    <row r="194" spans="2:15" x14ac:dyDescent="0.3">
      <c r="B194">
        <v>950</v>
      </c>
      <c r="C194" s="2">
        <v>4.8999999999999997E-6</v>
      </c>
      <c r="D194" s="2">
        <v>1.5E-6</v>
      </c>
      <c r="E194" s="2"/>
      <c r="F194" s="2"/>
      <c r="J194">
        <v>950</v>
      </c>
      <c r="K194" s="2">
        <v>1.9000000000000001E-7</v>
      </c>
      <c r="L194" s="2">
        <v>5.8999999999999999E-8</v>
      </c>
      <c r="M194" s="2"/>
      <c r="N194" s="2"/>
      <c r="O194" s="2"/>
    </row>
    <row r="195" spans="2:15" x14ac:dyDescent="0.3">
      <c r="B195">
        <v>960</v>
      </c>
      <c r="C195" s="2">
        <v>4.7999999999999998E-6</v>
      </c>
      <c r="D195" s="2">
        <v>1.5E-6</v>
      </c>
      <c r="E195" s="2"/>
      <c r="F195" s="2"/>
      <c r="J195">
        <v>960</v>
      </c>
      <c r="K195" s="2">
        <v>1.9000000000000001E-7</v>
      </c>
      <c r="L195" s="2">
        <v>5.8999999999999999E-8</v>
      </c>
      <c r="M195" s="2"/>
      <c r="N195" s="2"/>
      <c r="O195" s="2"/>
    </row>
    <row r="196" spans="2:15" x14ac:dyDescent="0.3">
      <c r="B196">
        <v>970</v>
      </c>
      <c r="C196" s="2">
        <v>4.7999999999999998E-6</v>
      </c>
      <c r="D196" s="2">
        <v>1.5E-6</v>
      </c>
      <c r="E196" s="2"/>
      <c r="F196" s="2"/>
      <c r="J196">
        <v>970</v>
      </c>
      <c r="K196" s="2">
        <v>1.9000000000000001E-7</v>
      </c>
      <c r="L196" s="2">
        <v>5.8000000000000003E-8</v>
      </c>
      <c r="M196" s="2"/>
      <c r="N196" s="2"/>
      <c r="O196" s="2"/>
    </row>
    <row r="197" spans="2:15" x14ac:dyDescent="0.3">
      <c r="B197">
        <v>980</v>
      </c>
      <c r="C197" s="2">
        <v>4.7999999999999998E-6</v>
      </c>
      <c r="D197" s="2">
        <v>1.3999999999999999E-6</v>
      </c>
      <c r="E197" s="2"/>
      <c r="F197" s="2"/>
      <c r="J197">
        <v>980</v>
      </c>
      <c r="K197" s="2">
        <v>1.9000000000000001E-7</v>
      </c>
      <c r="L197" s="2">
        <v>5.8000000000000003E-8</v>
      </c>
      <c r="M197" s="2"/>
      <c r="N197" s="2"/>
      <c r="O197" s="2"/>
    </row>
    <row r="198" spans="2:15" x14ac:dyDescent="0.3">
      <c r="B198">
        <v>990</v>
      </c>
      <c r="C198" s="2">
        <v>4.6999999999999999E-6</v>
      </c>
      <c r="D198" s="2">
        <v>1.3999999999999999E-6</v>
      </c>
      <c r="E198" s="2"/>
      <c r="F198" s="2"/>
      <c r="J198">
        <v>990</v>
      </c>
      <c r="K198" s="2">
        <v>1.9000000000000001E-7</v>
      </c>
      <c r="L198" s="2">
        <v>5.8000000000000003E-8</v>
      </c>
      <c r="M198" s="2"/>
      <c r="N198" s="2"/>
      <c r="O198" s="2"/>
    </row>
    <row r="199" spans="2:15" x14ac:dyDescent="0.3">
      <c r="B199">
        <v>1000</v>
      </c>
      <c r="C199" s="2">
        <v>4.6999999999999999E-6</v>
      </c>
      <c r="D199" s="2">
        <v>1.3999999999999999E-6</v>
      </c>
      <c r="E199" s="2"/>
      <c r="F199" s="2"/>
      <c r="J199">
        <v>1000</v>
      </c>
      <c r="K199" s="2">
        <v>1.9000000000000001E-7</v>
      </c>
      <c r="L199" s="2">
        <v>5.7000000000000001E-8</v>
      </c>
      <c r="M199" s="2"/>
      <c r="N199" s="2"/>
      <c r="O199" s="2"/>
    </row>
    <row r="200" spans="2:15" x14ac:dyDescent="0.3">
      <c r="B200">
        <v>1010</v>
      </c>
      <c r="C200" s="2">
        <v>4.6999999999999999E-6</v>
      </c>
      <c r="D200" s="2">
        <v>1.3999999999999999E-6</v>
      </c>
      <c r="E200" s="2"/>
      <c r="F200" s="2"/>
      <c r="J200">
        <v>1010</v>
      </c>
      <c r="K200" s="2">
        <v>1.9000000000000001E-7</v>
      </c>
      <c r="L200" s="2">
        <v>5.7000000000000001E-8</v>
      </c>
      <c r="M200" s="2"/>
      <c r="N200" s="2"/>
      <c r="O200" s="2"/>
    </row>
    <row r="201" spans="2:15" x14ac:dyDescent="0.3">
      <c r="B201">
        <v>1020</v>
      </c>
      <c r="C201" s="2">
        <v>4.6999999999999999E-6</v>
      </c>
      <c r="D201" s="2">
        <v>1.3999999999999999E-6</v>
      </c>
      <c r="E201" s="2"/>
      <c r="F201" s="2"/>
      <c r="J201">
        <v>1020</v>
      </c>
      <c r="K201" s="2">
        <v>1.9000000000000001E-7</v>
      </c>
      <c r="L201" s="2">
        <v>5.7000000000000001E-8</v>
      </c>
      <c r="M201" s="2"/>
      <c r="N201" s="2"/>
      <c r="O201" s="2"/>
    </row>
    <row r="202" spans="2:15" x14ac:dyDescent="0.3">
      <c r="B202">
        <v>1030</v>
      </c>
      <c r="C202" s="2">
        <v>4.6E-6</v>
      </c>
      <c r="D202" s="2">
        <v>1.3999999999999999E-6</v>
      </c>
      <c r="E202" s="2"/>
      <c r="F202" s="2"/>
      <c r="J202">
        <v>1030</v>
      </c>
      <c r="K202" s="2">
        <v>1.9000000000000001E-7</v>
      </c>
      <c r="L202" s="2">
        <v>5.5999999999999999E-8</v>
      </c>
      <c r="M202" s="2"/>
      <c r="N202" s="2"/>
      <c r="O202" s="2"/>
    </row>
    <row r="203" spans="2:15" x14ac:dyDescent="0.3">
      <c r="B203">
        <v>1040</v>
      </c>
      <c r="C203" s="2">
        <v>4.6E-6</v>
      </c>
      <c r="D203" s="2">
        <v>1.3999999999999999E-6</v>
      </c>
      <c r="E203" s="2"/>
      <c r="F203" s="2"/>
      <c r="J203">
        <v>1040</v>
      </c>
      <c r="K203" s="2">
        <v>1.8E-7</v>
      </c>
      <c r="L203" s="2">
        <v>5.5999999999999999E-8</v>
      </c>
      <c r="M203" s="2"/>
      <c r="N203" s="2"/>
      <c r="O203" s="2"/>
    </row>
    <row r="204" spans="2:15" x14ac:dyDescent="0.3">
      <c r="B204">
        <v>1050</v>
      </c>
      <c r="C204" s="2">
        <v>4.6E-6</v>
      </c>
      <c r="D204" s="2">
        <v>1.3999999999999999E-6</v>
      </c>
      <c r="E204" s="2"/>
      <c r="F204" s="2"/>
      <c r="J204">
        <v>1050</v>
      </c>
      <c r="K204" s="2">
        <v>1.8E-7</v>
      </c>
      <c r="L204" s="2">
        <v>5.5999999999999999E-8</v>
      </c>
      <c r="M204" s="2"/>
      <c r="N204" s="2"/>
      <c r="O204" s="2"/>
    </row>
    <row r="205" spans="2:15" x14ac:dyDescent="0.3">
      <c r="B205">
        <v>1060</v>
      </c>
      <c r="C205" s="2">
        <v>4.6E-6</v>
      </c>
      <c r="D205" s="2">
        <v>1.3999999999999999E-6</v>
      </c>
      <c r="E205" s="2"/>
      <c r="F205" s="2"/>
      <c r="J205">
        <v>1060</v>
      </c>
      <c r="K205" s="2">
        <v>1.8E-7</v>
      </c>
      <c r="L205" s="2">
        <v>5.5000000000000003E-8</v>
      </c>
      <c r="M205" s="2"/>
      <c r="N205" s="2"/>
      <c r="O205" s="2"/>
    </row>
    <row r="206" spans="2:15" x14ac:dyDescent="0.3">
      <c r="B206">
        <v>1070</v>
      </c>
      <c r="C206" s="2">
        <v>4.5000000000000001E-6</v>
      </c>
      <c r="D206" s="2">
        <v>1.3999999999999999E-6</v>
      </c>
      <c r="E206" s="2"/>
      <c r="F206" s="2"/>
      <c r="J206">
        <v>1070</v>
      </c>
      <c r="K206" s="2">
        <v>1.8E-7</v>
      </c>
      <c r="L206" s="2">
        <v>5.5000000000000003E-8</v>
      </c>
      <c r="M206" s="2"/>
      <c r="N206" s="2"/>
      <c r="O206" s="2"/>
    </row>
    <row r="207" spans="2:15" x14ac:dyDescent="0.3">
      <c r="B207">
        <v>1080</v>
      </c>
      <c r="C207" s="2">
        <v>4.5000000000000001E-6</v>
      </c>
      <c r="D207" s="2">
        <v>1.3999999999999999E-6</v>
      </c>
      <c r="E207" s="2"/>
      <c r="F207" s="2"/>
      <c r="J207">
        <v>1080</v>
      </c>
      <c r="K207" s="2">
        <v>1.8E-7</v>
      </c>
      <c r="L207" s="2">
        <v>5.5000000000000003E-8</v>
      </c>
      <c r="M207" s="2"/>
      <c r="N207" s="2"/>
      <c r="O207" s="2"/>
    </row>
    <row r="208" spans="2:15" x14ac:dyDescent="0.3">
      <c r="B208">
        <v>1090</v>
      </c>
      <c r="C208" s="2">
        <v>4.5000000000000001E-6</v>
      </c>
      <c r="D208" s="2">
        <v>1.3999999999999999E-6</v>
      </c>
      <c r="E208" s="2"/>
      <c r="F208" s="2"/>
      <c r="J208">
        <v>1090</v>
      </c>
      <c r="K208" s="2">
        <v>1.8E-7</v>
      </c>
      <c r="L208" s="2">
        <v>5.4E-8</v>
      </c>
      <c r="M208" s="2"/>
      <c r="N208" s="2"/>
      <c r="O208" s="2"/>
    </row>
    <row r="209" spans="2:15" x14ac:dyDescent="0.3">
      <c r="B209">
        <v>1095</v>
      </c>
      <c r="C209" s="2">
        <v>4.5000000000000001E-6</v>
      </c>
      <c r="D209" s="2">
        <v>1.3999999999999999E-6</v>
      </c>
      <c r="E209" s="2"/>
      <c r="F209" s="2"/>
      <c r="J209">
        <v>1095</v>
      </c>
      <c r="K209" s="2">
        <v>1.8E-7</v>
      </c>
      <c r="L209" s="2">
        <v>5.4E-8</v>
      </c>
      <c r="M209" s="2"/>
      <c r="N209" s="2"/>
      <c r="O209" s="2"/>
    </row>
    <row r="210" spans="2:15" x14ac:dyDescent="0.3">
      <c r="B210">
        <v>1100</v>
      </c>
      <c r="C210" s="2">
        <v>4.5000000000000001E-6</v>
      </c>
      <c r="D210" s="2">
        <v>1.3999999999999999E-6</v>
      </c>
      <c r="E210" s="2"/>
      <c r="F210" s="2"/>
      <c r="J210">
        <v>1100</v>
      </c>
      <c r="K210" s="2">
        <v>1.8E-7</v>
      </c>
      <c r="L210" s="2">
        <v>5.4E-8</v>
      </c>
      <c r="M210" s="2"/>
      <c r="N210" s="2"/>
      <c r="O210" s="2"/>
    </row>
    <row r="211" spans="2:15" x14ac:dyDescent="0.3">
      <c r="B211">
        <v>1200</v>
      </c>
      <c r="C211" s="2">
        <v>4.1999999999999996E-6</v>
      </c>
      <c r="D211" s="2">
        <v>1.3E-6</v>
      </c>
      <c r="E211" s="2"/>
      <c r="F211" s="2"/>
      <c r="J211">
        <v>1200</v>
      </c>
      <c r="K211" s="2">
        <v>1.6999999999999999E-7</v>
      </c>
      <c r="L211" s="2">
        <v>5.2000000000000002E-8</v>
      </c>
      <c r="M211" s="2"/>
      <c r="N211" s="2"/>
      <c r="O211" s="2"/>
    </row>
    <row r="212" spans="2:15" x14ac:dyDescent="0.3">
      <c r="B212">
        <v>1300</v>
      </c>
      <c r="C212" s="2">
        <v>4.0999999999999997E-6</v>
      </c>
      <c r="D212" s="2">
        <v>1.1999999999999999E-6</v>
      </c>
      <c r="E212" s="2"/>
      <c r="F212" s="2"/>
      <c r="J212">
        <v>1300</v>
      </c>
      <c r="K212" s="2">
        <v>1.6E-7</v>
      </c>
      <c r="L212" s="2">
        <v>4.9000000000000002E-8</v>
      </c>
      <c r="M212" s="2"/>
      <c r="N212" s="2"/>
      <c r="O212" s="2"/>
    </row>
    <row r="213" spans="2:15" x14ac:dyDescent="0.3">
      <c r="B213">
        <v>1400</v>
      </c>
      <c r="C213" s="2">
        <v>3.8999999999999999E-6</v>
      </c>
      <c r="D213" s="2">
        <v>1.1999999999999999E-6</v>
      </c>
      <c r="E213" s="2"/>
      <c r="F213" s="2"/>
      <c r="J213">
        <v>1400</v>
      </c>
      <c r="K213" s="2">
        <v>1.4999999999999999E-7</v>
      </c>
      <c r="L213" s="2">
        <v>4.6999999999999997E-8</v>
      </c>
      <c r="M213" s="2"/>
      <c r="N213" s="2"/>
      <c r="O213" s="2"/>
    </row>
    <row r="214" spans="2:15" x14ac:dyDescent="0.3">
      <c r="B214">
        <v>1500</v>
      </c>
      <c r="C214" s="2">
        <v>3.7000000000000002E-6</v>
      </c>
      <c r="D214" s="2">
        <v>1.1000000000000001E-6</v>
      </c>
      <c r="E214" s="2"/>
      <c r="F214" s="2"/>
      <c r="J214">
        <v>1500</v>
      </c>
      <c r="K214" s="2">
        <v>1.4999999999999999E-7</v>
      </c>
      <c r="L214" s="2">
        <v>4.4999999999999999E-8</v>
      </c>
      <c r="M214" s="2"/>
      <c r="N214" s="2"/>
      <c r="O214" s="2"/>
    </row>
    <row r="215" spans="2:15" x14ac:dyDescent="0.3">
      <c r="B215">
        <v>1600</v>
      </c>
      <c r="C215" s="2">
        <v>3.4999999999999999E-6</v>
      </c>
      <c r="D215" s="2">
        <v>1.1000000000000001E-6</v>
      </c>
      <c r="E215" s="2"/>
      <c r="F215" s="2"/>
      <c r="J215">
        <v>1600</v>
      </c>
      <c r="K215" s="2">
        <v>1.4000000000000001E-7</v>
      </c>
      <c r="L215" s="2">
        <v>4.3000000000000001E-8</v>
      </c>
      <c r="M215" s="2"/>
      <c r="N215" s="2"/>
      <c r="O215" s="2"/>
    </row>
    <row r="216" spans="2:15" x14ac:dyDescent="0.3">
      <c r="B216">
        <v>1700</v>
      </c>
      <c r="C216" s="2">
        <v>3.4000000000000001E-6</v>
      </c>
      <c r="D216" s="2">
        <v>9.9999999999999995E-7</v>
      </c>
      <c r="E216" s="2"/>
      <c r="F216" s="2"/>
      <c r="J216">
        <v>1700</v>
      </c>
      <c r="K216" s="2">
        <v>1.4000000000000001E-7</v>
      </c>
      <c r="L216" s="2">
        <v>4.1000000000000003E-8</v>
      </c>
      <c r="M216" s="2"/>
      <c r="N216" s="2"/>
      <c r="O216" s="2"/>
    </row>
    <row r="217" spans="2:15" x14ac:dyDescent="0.3">
      <c r="B217">
        <v>1800</v>
      </c>
      <c r="C217" s="2">
        <v>3.1999999999999999E-6</v>
      </c>
      <c r="D217" s="2">
        <v>9.9000000000000005E-7</v>
      </c>
      <c r="E217" s="2"/>
      <c r="F217" s="2"/>
      <c r="J217">
        <v>1800</v>
      </c>
      <c r="K217" s="2">
        <v>1.3E-7</v>
      </c>
      <c r="L217" s="2">
        <v>3.8999999999999998E-8</v>
      </c>
      <c r="M217" s="2"/>
      <c r="N217" s="2"/>
      <c r="O217" s="2"/>
    </row>
    <row r="218" spans="2:15" x14ac:dyDescent="0.3">
      <c r="B218">
        <v>1900</v>
      </c>
      <c r="C218" s="2">
        <v>3.1E-6</v>
      </c>
      <c r="D218" s="2">
        <v>9.4E-7</v>
      </c>
      <c r="E218" s="2"/>
      <c r="F218" s="2"/>
      <c r="J218">
        <v>1900</v>
      </c>
      <c r="K218" s="2">
        <v>1.1999999999999999E-7</v>
      </c>
      <c r="L218" s="2">
        <v>3.8000000000000003E-8</v>
      </c>
      <c r="M218" s="2"/>
      <c r="N218" s="2"/>
      <c r="O218" s="2"/>
    </row>
    <row r="219" spans="2:15" x14ac:dyDescent="0.3">
      <c r="B219">
        <v>2000</v>
      </c>
      <c r="C219" s="2">
        <v>3.0000000000000001E-6</v>
      </c>
      <c r="D219" s="2">
        <v>8.9999999999999996E-7</v>
      </c>
      <c r="E219" s="2"/>
      <c r="F219" s="2"/>
      <c r="J219">
        <v>2000</v>
      </c>
      <c r="K219" s="2">
        <v>1.1999999999999999E-7</v>
      </c>
      <c r="L219" s="2">
        <v>3.5999999999999998E-8</v>
      </c>
      <c r="M219" s="2"/>
      <c r="N219" s="2"/>
      <c r="O219" s="2"/>
    </row>
    <row r="220" spans="2:15" x14ac:dyDescent="0.3">
      <c r="B220">
        <v>2100</v>
      </c>
      <c r="C220" s="2">
        <v>2.9000000000000002E-6</v>
      </c>
      <c r="D220" s="2">
        <v>8.7000000000000003E-7</v>
      </c>
      <c r="E220" s="2"/>
      <c r="F220" s="2"/>
      <c r="J220">
        <v>2100</v>
      </c>
      <c r="K220" s="2">
        <v>1.1000000000000001E-7</v>
      </c>
      <c r="L220" s="2">
        <v>3.5000000000000002E-8</v>
      </c>
      <c r="M220" s="2"/>
      <c r="N220" s="2"/>
      <c r="O220" s="2"/>
    </row>
    <row r="221" spans="2:15" x14ac:dyDescent="0.3">
      <c r="B221">
        <v>2200</v>
      </c>
      <c r="C221" s="2">
        <v>2.7E-6</v>
      </c>
      <c r="D221" s="2">
        <v>8.2999999999999999E-7</v>
      </c>
      <c r="E221" s="2"/>
      <c r="F221" s="2"/>
      <c r="J221">
        <v>2200</v>
      </c>
      <c r="K221" s="2">
        <v>1.1000000000000001E-7</v>
      </c>
      <c r="L221" s="2">
        <v>3.2999999999999998E-8</v>
      </c>
      <c r="M221" s="2"/>
      <c r="N221" s="2"/>
      <c r="O221" s="2"/>
    </row>
    <row r="222" spans="2:15" x14ac:dyDescent="0.3">
      <c r="B222">
        <v>2300</v>
      </c>
      <c r="C222" s="2">
        <v>2.6000000000000001E-6</v>
      </c>
      <c r="D222" s="2">
        <v>7.9999999999999996E-7</v>
      </c>
      <c r="E222" s="2"/>
      <c r="F222" s="2"/>
      <c r="J222">
        <v>2300</v>
      </c>
      <c r="K222" s="2">
        <v>9.9999999999999995E-8</v>
      </c>
      <c r="L222" s="2">
        <v>3.2000000000000002E-8</v>
      </c>
      <c r="M222" s="2"/>
      <c r="N222" s="2"/>
      <c r="O222" s="2"/>
    </row>
    <row r="223" spans="2:15" x14ac:dyDescent="0.3">
      <c r="B223">
        <v>2400</v>
      </c>
      <c r="C223" s="2">
        <v>2.5000000000000002E-6</v>
      </c>
      <c r="D223" s="2">
        <v>7.6000000000000003E-7</v>
      </c>
      <c r="E223" s="2"/>
      <c r="F223" s="2"/>
      <c r="J223">
        <v>2400</v>
      </c>
      <c r="K223" s="2">
        <v>9.9999999999999995E-8</v>
      </c>
      <c r="L223" s="2">
        <v>3.1E-8</v>
      </c>
      <c r="M223" s="2"/>
      <c r="N223" s="2"/>
      <c r="O223" s="2"/>
    </row>
    <row r="224" spans="2:15" x14ac:dyDescent="0.3">
      <c r="B224">
        <v>2500</v>
      </c>
      <c r="C224" s="2">
        <v>2.3999999999999999E-6</v>
      </c>
      <c r="D224" s="2">
        <v>7.3E-7</v>
      </c>
      <c r="E224" s="2"/>
      <c r="F224" s="2"/>
      <c r="J224">
        <v>2500</v>
      </c>
      <c r="K224" s="2">
        <v>9.6999999999999995E-8</v>
      </c>
      <c r="L224" s="2">
        <v>2.9000000000000002E-8</v>
      </c>
      <c r="M224" s="2"/>
      <c r="N224" s="2"/>
      <c r="O224" s="2"/>
    </row>
    <row r="225" spans="2:15" x14ac:dyDescent="0.3">
      <c r="B225">
        <v>2600</v>
      </c>
      <c r="C225" s="2">
        <v>2.3E-6</v>
      </c>
      <c r="D225" s="2">
        <v>6.9999999999999997E-7</v>
      </c>
      <c r="E225" s="2"/>
      <c r="F225" s="2"/>
      <c r="J225">
        <v>2600</v>
      </c>
      <c r="K225" s="2">
        <v>9.2999999999999999E-8</v>
      </c>
      <c r="L225" s="2">
        <v>2.7999999999999999E-8</v>
      </c>
      <c r="M225" s="2"/>
      <c r="N225" s="2"/>
      <c r="O225" s="2"/>
    </row>
    <row r="226" spans="2:15" x14ac:dyDescent="0.3">
      <c r="B226">
        <v>2700</v>
      </c>
      <c r="C226" s="2">
        <v>2.2000000000000001E-6</v>
      </c>
      <c r="D226" s="2">
        <v>6.7999999999999995E-7</v>
      </c>
      <c r="E226" s="2"/>
      <c r="F226" s="2"/>
      <c r="J226">
        <v>2700</v>
      </c>
      <c r="K226" s="2">
        <v>8.9000000000000003E-8</v>
      </c>
      <c r="L226" s="2">
        <v>2.7E-8</v>
      </c>
      <c r="M226" s="2"/>
      <c r="N226" s="2"/>
      <c r="O226" s="2"/>
    </row>
    <row r="227" spans="2:15" x14ac:dyDescent="0.3">
      <c r="B227">
        <v>2800</v>
      </c>
      <c r="C227" s="2">
        <v>2.0999999999999998E-6</v>
      </c>
      <c r="D227" s="2">
        <v>6.5000000000000002E-7</v>
      </c>
      <c r="E227" s="2"/>
      <c r="F227" s="2"/>
      <c r="J227">
        <v>2800</v>
      </c>
      <c r="K227" s="2">
        <v>8.4999999999999994E-8</v>
      </c>
      <c r="L227" s="2">
        <v>2.6000000000000001E-8</v>
      </c>
      <c r="M227" s="2"/>
      <c r="N227" s="2"/>
      <c r="O227" s="2"/>
    </row>
    <row r="228" spans="2:15" x14ac:dyDescent="0.3">
      <c r="B228">
        <v>2900</v>
      </c>
      <c r="C228" s="2">
        <v>2.0999999999999998E-6</v>
      </c>
      <c r="D228" s="2">
        <v>6.1999999999999999E-7</v>
      </c>
      <c r="E228" s="2"/>
      <c r="F228" s="2"/>
      <c r="J228">
        <v>2900</v>
      </c>
      <c r="K228" s="2">
        <v>8.2000000000000006E-8</v>
      </c>
      <c r="L228" s="2">
        <v>2.4999999999999999E-8</v>
      </c>
      <c r="M228" s="2"/>
      <c r="N228" s="2"/>
      <c r="O228" s="2"/>
    </row>
    <row r="229" spans="2:15" x14ac:dyDescent="0.3">
      <c r="B229">
        <v>3000</v>
      </c>
      <c r="C229" s="2">
        <v>1.9999999999999999E-6</v>
      </c>
      <c r="D229" s="2">
        <v>5.9999999999999997E-7</v>
      </c>
      <c r="E229" s="2"/>
      <c r="F229" s="2"/>
      <c r="J229">
        <v>3000</v>
      </c>
      <c r="K229" s="2">
        <v>7.9000000000000006E-8</v>
      </c>
      <c r="L229" s="2">
        <v>2.4E-8</v>
      </c>
      <c r="M229" s="2"/>
      <c r="N229" s="2"/>
      <c r="O229" s="2"/>
    </row>
    <row r="230" spans="2:15" x14ac:dyDescent="0.3">
      <c r="B230">
        <v>3100</v>
      </c>
      <c r="C230" s="2">
        <v>1.9E-6</v>
      </c>
      <c r="D230" s="2">
        <v>5.7999999999999995E-7</v>
      </c>
      <c r="E230" s="2"/>
      <c r="F230" s="2"/>
      <c r="J230">
        <v>3100</v>
      </c>
      <c r="K230" s="2">
        <v>7.6000000000000006E-8</v>
      </c>
      <c r="L230" s="2">
        <v>2.3000000000000001E-8</v>
      </c>
      <c r="M230" s="2"/>
      <c r="N230" s="2"/>
      <c r="O230" s="2"/>
    </row>
    <row r="231" spans="2:15" x14ac:dyDescent="0.3">
      <c r="B231">
        <v>3200</v>
      </c>
      <c r="C231" s="2">
        <v>1.7999999999999999E-6</v>
      </c>
      <c r="D231" s="2">
        <v>5.5000000000000003E-7</v>
      </c>
      <c r="E231" s="2"/>
      <c r="F231" s="2"/>
      <c r="J231">
        <v>3200</v>
      </c>
      <c r="K231" s="2">
        <v>7.3000000000000005E-8</v>
      </c>
      <c r="L231" s="2">
        <v>2.1999999999999998E-8</v>
      </c>
      <c r="M231" s="2"/>
      <c r="N231" s="2"/>
      <c r="O231" s="2"/>
    </row>
    <row r="232" spans="2:15" x14ac:dyDescent="0.3">
      <c r="B232">
        <v>3300</v>
      </c>
      <c r="C232" s="2">
        <v>1.7999999999999999E-6</v>
      </c>
      <c r="D232" s="2">
        <v>5.3000000000000001E-7</v>
      </c>
      <c r="E232" s="2"/>
      <c r="F232" s="2"/>
      <c r="J232">
        <v>3300</v>
      </c>
      <c r="K232" s="2">
        <v>7.0000000000000005E-8</v>
      </c>
      <c r="L232" s="2">
        <v>2.0999999999999999E-8</v>
      </c>
      <c r="M232" s="2"/>
      <c r="N232" s="2"/>
      <c r="O232" s="2"/>
    </row>
    <row r="233" spans="2:15" x14ac:dyDescent="0.3">
      <c r="B233">
        <v>3400</v>
      </c>
      <c r="C233" s="2">
        <v>1.7E-6</v>
      </c>
      <c r="D233" s="2">
        <v>5.0999999999999999E-7</v>
      </c>
      <c r="E233" s="2"/>
      <c r="F233" s="2"/>
      <c r="J233">
        <v>3400</v>
      </c>
      <c r="K233" s="2">
        <v>6.7000000000000004E-8</v>
      </c>
      <c r="L233" s="2">
        <v>2E-8</v>
      </c>
      <c r="M233" s="2"/>
      <c r="N233" s="2"/>
      <c r="O233" s="2"/>
    </row>
    <row r="234" spans="2:15" x14ac:dyDescent="0.3">
      <c r="B234">
        <v>3500</v>
      </c>
      <c r="C234" s="2">
        <v>1.5999999999999999E-6</v>
      </c>
      <c r="D234" s="2">
        <v>4.8999999999999997E-7</v>
      </c>
      <c r="E234" s="2"/>
      <c r="F234" s="2"/>
      <c r="J234">
        <v>3500</v>
      </c>
      <c r="K234" s="2">
        <v>6.5E-8</v>
      </c>
      <c r="L234" s="2">
        <v>2E-8</v>
      </c>
      <c r="M234" s="2"/>
      <c r="N234" s="2"/>
      <c r="O234" s="2"/>
    </row>
    <row r="235" spans="2:15" x14ac:dyDescent="0.3">
      <c r="B235">
        <v>3600</v>
      </c>
      <c r="C235" s="2">
        <v>1.5999999999999999E-6</v>
      </c>
      <c r="D235" s="2">
        <v>4.7E-7</v>
      </c>
      <c r="E235" s="2"/>
      <c r="F235" s="2"/>
      <c r="J235">
        <v>3600</v>
      </c>
      <c r="K235" s="2">
        <v>6.1999999999999999E-8</v>
      </c>
      <c r="L235" s="2">
        <v>1.9000000000000001E-8</v>
      </c>
      <c r="M235" s="2"/>
      <c r="N235" s="2"/>
      <c r="O235" s="2"/>
    </row>
    <row r="236" spans="2:15" x14ac:dyDescent="0.3">
      <c r="B236">
        <v>3650</v>
      </c>
      <c r="C236" s="2">
        <v>1.5E-6</v>
      </c>
      <c r="D236" s="2">
        <v>4.7E-7</v>
      </c>
      <c r="E236" s="2"/>
      <c r="F236" s="2"/>
      <c r="J236">
        <v>3650</v>
      </c>
      <c r="K236" s="2">
        <v>6.1000000000000004E-8</v>
      </c>
      <c r="L236" s="2">
        <v>1.9000000000000001E-8</v>
      </c>
      <c r="M236" s="2"/>
      <c r="N236" s="2"/>
      <c r="O236" s="2"/>
    </row>
    <row r="237" spans="2:15" x14ac:dyDescent="0.3">
      <c r="B237">
        <v>4000</v>
      </c>
      <c r="C237" s="2">
        <v>1.3E-6</v>
      </c>
      <c r="D237" s="2">
        <v>4.0999999999999999E-7</v>
      </c>
      <c r="E237" s="2"/>
      <c r="F237" s="2"/>
      <c r="J237">
        <v>4000</v>
      </c>
      <c r="K237" s="2">
        <v>5.4E-8</v>
      </c>
      <c r="L237" s="2">
        <v>1.6000000000000001E-8</v>
      </c>
      <c r="M237" s="2"/>
      <c r="N237" s="2"/>
      <c r="O237" s="2"/>
    </row>
    <row r="238" spans="2:15" x14ac:dyDescent="0.3">
      <c r="B238">
        <v>5000</v>
      </c>
      <c r="C238" s="2">
        <v>9.5000000000000001E-7</v>
      </c>
      <c r="D238" s="2">
        <v>2.8999999999999998E-7</v>
      </c>
      <c r="E238" s="2"/>
      <c r="F238" s="2"/>
      <c r="J238">
        <v>5000</v>
      </c>
      <c r="K238" s="2">
        <v>3.8000000000000003E-8</v>
      </c>
      <c r="L238" s="2">
        <v>1.2E-8</v>
      </c>
      <c r="M238" s="2"/>
      <c r="N238" s="2"/>
      <c r="O238" s="2"/>
    </row>
    <row r="239" spans="2:15" x14ac:dyDescent="0.3">
      <c r="B239">
        <v>6000</v>
      </c>
      <c r="C239" s="2">
        <v>6.9999999999999997E-7</v>
      </c>
      <c r="D239" s="2">
        <v>2.1E-7</v>
      </c>
      <c r="E239" s="2"/>
      <c r="F239" s="2"/>
      <c r="J239">
        <v>6000</v>
      </c>
      <c r="K239" s="2">
        <v>2.7999999999999999E-8</v>
      </c>
      <c r="L239" s="2">
        <v>8.5E-9</v>
      </c>
      <c r="M239" s="2"/>
      <c r="N239" s="2"/>
      <c r="O239" s="2"/>
    </row>
    <row r="240" spans="2:15" x14ac:dyDescent="0.3">
      <c r="B240">
        <v>7000</v>
      </c>
      <c r="C240" s="2">
        <v>5.3000000000000001E-7</v>
      </c>
      <c r="D240" s="2">
        <v>1.6E-7</v>
      </c>
      <c r="E240" s="2"/>
      <c r="F240" s="2"/>
      <c r="J240">
        <v>7000</v>
      </c>
      <c r="K240" s="2">
        <v>2.0999999999999999E-8</v>
      </c>
      <c r="L240" s="2">
        <v>6.4000000000000002E-9</v>
      </c>
      <c r="M240" s="2"/>
      <c r="N240" s="2"/>
      <c r="O240" s="2"/>
    </row>
    <row r="241" spans="2:15" x14ac:dyDescent="0.3">
      <c r="B241">
        <v>8000</v>
      </c>
      <c r="C241" s="2">
        <v>4.0999999999999999E-7</v>
      </c>
      <c r="D241" s="2">
        <v>1.1999999999999999E-7</v>
      </c>
      <c r="E241" s="2"/>
      <c r="F241" s="2"/>
      <c r="J241">
        <v>8000</v>
      </c>
      <c r="K241" s="2">
        <v>1.6000000000000001E-8</v>
      </c>
      <c r="L241" s="2">
        <v>5.0000000000000001E-9</v>
      </c>
      <c r="M241" s="2"/>
      <c r="N241" s="2"/>
      <c r="O241" s="2"/>
    </row>
    <row r="242" spans="2:15" x14ac:dyDescent="0.3">
      <c r="B242">
        <v>9000</v>
      </c>
      <c r="C242" s="2">
        <v>3.3000000000000002E-7</v>
      </c>
      <c r="D242" s="2">
        <v>9.9999999999999995E-8</v>
      </c>
      <c r="E242" s="2"/>
      <c r="F242" s="2"/>
      <c r="J242">
        <v>9000</v>
      </c>
      <c r="K242" s="2">
        <v>1.3000000000000001E-8</v>
      </c>
      <c r="L242" s="2">
        <v>4.0000000000000002E-9</v>
      </c>
      <c r="M242" s="2"/>
      <c r="N242" s="2"/>
      <c r="O242" s="2"/>
    </row>
    <row r="243" spans="2:15" x14ac:dyDescent="0.3">
      <c r="B243">
        <v>10000</v>
      </c>
      <c r="C243" s="2">
        <v>2.7000000000000001E-7</v>
      </c>
      <c r="D243" s="2">
        <v>8.2000000000000006E-8</v>
      </c>
      <c r="E243" s="2"/>
      <c r="F243" s="2"/>
      <c r="J243">
        <v>10000</v>
      </c>
      <c r="K243" s="2">
        <v>1.0999999999999999E-8</v>
      </c>
      <c r="L243" s="2">
        <v>3.3000000000000002E-9</v>
      </c>
      <c r="M243" s="2"/>
      <c r="N243" s="2"/>
      <c r="O243" s="2"/>
    </row>
    <row r="244" spans="2:15" x14ac:dyDescent="0.3">
      <c r="B244">
        <v>11000</v>
      </c>
      <c r="C244" s="2">
        <v>2.2000000000000001E-7</v>
      </c>
      <c r="D244" s="2">
        <v>6.8E-8</v>
      </c>
      <c r="E244" s="2"/>
      <c r="F244" s="2"/>
      <c r="J244">
        <v>11000</v>
      </c>
      <c r="K244" s="2">
        <v>8.9999999999999995E-9</v>
      </c>
      <c r="L244" s="2">
        <v>2.7000000000000002E-9</v>
      </c>
      <c r="M244" s="2"/>
      <c r="N244" s="2"/>
      <c r="O244" s="2"/>
    </row>
    <row r="245" spans="2:15" x14ac:dyDescent="0.3">
      <c r="B245">
        <v>12000</v>
      </c>
      <c r="C245" s="2">
        <v>1.9000000000000001E-7</v>
      </c>
      <c r="D245" s="2">
        <v>5.7000000000000001E-8</v>
      </c>
      <c r="E245" s="2"/>
      <c r="F245" s="2"/>
      <c r="J245">
        <v>12000</v>
      </c>
      <c r="K245" s="2">
        <v>7.4999999999999993E-9</v>
      </c>
      <c r="L245" s="2">
        <v>2.2999999999999999E-9</v>
      </c>
      <c r="M245" s="2"/>
      <c r="N245" s="2"/>
      <c r="O245" s="2"/>
    </row>
    <row r="246" spans="2:15" x14ac:dyDescent="0.3">
      <c r="B246">
        <v>13000</v>
      </c>
      <c r="C246" s="2">
        <v>1.6E-7</v>
      </c>
      <c r="D246" s="2">
        <v>4.9000000000000002E-8</v>
      </c>
      <c r="E246" s="2"/>
      <c r="F246" s="2"/>
      <c r="J246">
        <v>13000</v>
      </c>
      <c r="K246" s="2">
        <v>6.4000000000000002E-9</v>
      </c>
      <c r="L246" s="2">
        <v>1.9000000000000001E-9</v>
      </c>
      <c r="M246" s="2"/>
      <c r="N246" s="2"/>
      <c r="O246" s="2"/>
    </row>
    <row r="247" spans="2:15" x14ac:dyDescent="0.3">
      <c r="B247">
        <v>14000</v>
      </c>
      <c r="C247" s="2">
        <v>1.4000000000000001E-7</v>
      </c>
      <c r="D247" s="2">
        <v>4.1000000000000003E-8</v>
      </c>
      <c r="E247" s="2"/>
      <c r="F247" s="2"/>
      <c r="J247">
        <v>14000</v>
      </c>
      <c r="K247" s="2">
        <v>5.4999999999999996E-9</v>
      </c>
      <c r="L247" s="2">
        <v>1.6999999999999999E-9</v>
      </c>
      <c r="M247" s="2"/>
      <c r="N247" s="2"/>
      <c r="O247" s="2"/>
    </row>
    <row r="248" spans="2:15" x14ac:dyDescent="0.3">
      <c r="B248">
        <v>15000</v>
      </c>
      <c r="C248" s="2">
        <v>1.1999999999999999E-7</v>
      </c>
      <c r="D248" s="2">
        <v>3.5999999999999998E-8</v>
      </c>
      <c r="E248" s="2"/>
      <c r="F248" s="2"/>
      <c r="J248">
        <v>15000</v>
      </c>
      <c r="K248" s="2">
        <v>4.6999999999999999E-9</v>
      </c>
      <c r="L248" s="2">
        <v>1.3999999999999999E-9</v>
      </c>
      <c r="M248" s="2"/>
      <c r="N248" s="2"/>
      <c r="O248" s="2"/>
    </row>
    <row r="249" spans="2:15" x14ac:dyDescent="0.3">
      <c r="B249">
        <v>16000</v>
      </c>
      <c r="C249" s="2">
        <v>9.9999999999999995E-8</v>
      </c>
      <c r="D249" s="2">
        <v>3.1E-8</v>
      </c>
      <c r="E249" s="2"/>
      <c r="F249" s="2"/>
      <c r="J249">
        <v>16000</v>
      </c>
      <c r="K249" s="2">
        <v>4.0000000000000002E-9</v>
      </c>
      <c r="L249" s="2">
        <v>1.2E-9</v>
      </c>
      <c r="M249" s="2"/>
      <c r="N249" s="2"/>
      <c r="O249" s="2"/>
    </row>
    <row r="250" spans="2:15" x14ac:dyDescent="0.3">
      <c r="B250">
        <v>17000</v>
      </c>
      <c r="C250" s="2">
        <v>8.6999999999999998E-8</v>
      </c>
      <c r="D250" s="2">
        <v>2.6000000000000001E-8</v>
      </c>
      <c r="E250" s="2"/>
      <c r="F250" s="2"/>
      <c r="J250">
        <v>17000</v>
      </c>
      <c r="K250" s="2">
        <v>3.4999999999999999E-9</v>
      </c>
      <c r="L250" s="2">
        <v>1.0999999999999999E-9</v>
      </c>
      <c r="M250" s="2"/>
      <c r="N250" s="2"/>
      <c r="O250" s="2"/>
    </row>
    <row r="251" spans="2:15" x14ac:dyDescent="0.3">
      <c r="B251">
        <v>18000</v>
      </c>
      <c r="C251" s="2">
        <v>7.4999999999999997E-8</v>
      </c>
      <c r="D251" s="2">
        <v>2.3000000000000001E-8</v>
      </c>
      <c r="E251" s="2"/>
      <c r="F251" s="2"/>
      <c r="J251">
        <v>18000</v>
      </c>
      <c r="K251" s="2">
        <v>3E-9</v>
      </c>
      <c r="L251" s="2">
        <v>9.0999999999999996E-10</v>
      </c>
      <c r="M251" s="2"/>
      <c r="N251" s="2"/>
      <c r="O251" s="2"/>
    </row>
    <row r="252" spans="2:15" x14ac:dyDescent="0.3">
      <c r="B252">
        <v>18250</v>
      </c>
      <c r="C252" s="2">
        <v>7.3000000000000005E-8</v>
      </c>
      <c r="D252" s="2">
        <v>2.1999999999999998E-8</v>
      </c>
      <c r="E252" s="2"/>
      <c r="F252" s="2"/>
      <c r="J252">
        <v>18250</v>
      </c>
      <c r="K252" s="2">
        <v>2.8999999999999999E-9</v>
      </c>
      <c r="L252" s="2">
        <v>8.7999999999999996E-10</v>
      </c>
      <c r="M252" s="2"/>
      <c r="N252" s="2"/>
      <c r="O252" s="2"/>
    </row>
    <row r="253" spans="2:15" x14ac:dyDescent="0.3">
      <c r="J253" s="2"/>
      <c r="K253" s="2"/>
      <c r="L253" s="2"/>
      <c r="M253" s="2"/>
      <c r="N253" s="2"/>
      <c r="O253" s="2"/>
    </row>
    <row r="254" spans="2:15" x14ac:dyDescent="0.3">
      <c r="D254" s="2"/>
      <c r="J254" s="2"/>
      <c r="K254" s="2"/>
      <c r="L254" s="2"/>
      <c r="M254" s="2"/>
      <c r="N254" s="2"/>
      <c r="O254" s="2"/>
    </row>
    <row r="255" spans="2:15" x14ac:dyDescent="0.3">
      <c r="J255" s="2"/>
      <c r="K255" s="2"/>
      <c r="L255" s="2"/>
      <c r="M255" s="2"/>
      <c r="N255" s="2"/>
      <c r="O255" s="2"/>
    </row>
    <row r="256" spans="2:15" x14ac:dyDescent="0.3">
      <c r="J256" s="2"/>
      <c r="K256" s="2"/>
      <c r="L256" s="2"/>
      <c r="M256" s="2"/>
      <c r="N256" s="2"/>
      <c r="O256" s="2"/>
    </row>
    <row r="257" spans="10:15" x14ac:dyDescent="0.3">
      <c r="J257" s="2"/>
      <c r="K257" s="2"/>
      <c r="L257" s="2"/>
      <c r="M257" s="2"/>
      <c r="N257" s="2"/>
      <c r="O257" s="2"/>
    </row>
    <row r="258" spans="10:15" x14ac:dyDescent="0.3">
      <c r="J258" s="2"/>
      <c r="K258" s="2"/>
      <c r="L258" s="2"/>
      <c r="M258" s="2"/>
      <c r="N258" s="2"/>
      <c r="O258" s="2"/>
    </row>
    <row r="259" spans="10:15" x14ac:dyDescent="0.3">
      <c r="J259" s="2"/>
      <c r="K259" s="2"/>
      <c r="L259" s="2"/>
      <c r="M259" s="2"/>
      <c r="N259" s="2"/>
      <c r="O259" s="2"/>
    </row>
    <row r="260" spans="10:15" x14ac:dyDescent="0.3">
      <c r="J260" s="2"/>
      <c r="K260" s="2"/>
      <c r="L260" s="2"/>
      <c r="M260" s="2"/>
      <c r="N260" s="2"/>
      <c r="O260" s="2"/>
    </row>
    <row r="261" spans="10:15" x14ac:dyDescent="0.3">
      <c r="J261" s="2"/>
      <c r="K261" s="2"/>
      <c r="L261" s="2"/>
      <c r="M261" s="2"/>
      <c r="N261" s="2"/>
      <c r="O261" s="2"/>
    </row>
    <row r="262" spans="10:15" x14ac:dyDescent="0.3">
      <c r="J262" s="2"/>
      <c r="K262" s="2"/>
      <c r="L262" s="2"/>
      <c r="M262" s="2"/>
      <c r="N262" s="2"/>
      <c r="O262" s="2"/>
    </row>
    <row r="263" spans="10:15" x14ac:dyDescent="0.3">
      <c r="J263" s="2"/>
      <c r="K263" s="2"/>
      <c r="L263" s="2"/>
      <c r="M263" s="2"/>
      <c r="N263" s="2"/>
      <c r="O263" s="2"/>
    </row>
    <row r="264" spans="10:15" x14ac:dyDescent="0.3">
      <c r="J264" s="2"/>
      <c r="K264" s="2"/>
      <c r="L264" s="2"/>
      <c r="M264" s="2"/>
      <c r="N264" s="2"/>
      <c r="O264" s="2"/>
    </row>
    <row r="265" spans="10:15" x14ac:dyDescent="0.3">
      <c r="J265" s="2"/>
      <c r="K265" s="2"/>
      <c r="L265" s="2"/>
      <c r="M265" s="2"/>
      <c r="N265" s="2"/>
      <c r="O265" s="2"/>
    </row>
    <row r="266" spans="10:15" x14ac:dyDescent="0.3">
      <c r="J266" s="2"/>
      <c r="K266" s="2"/>
      <c r="L266" s="2"/>
      <c r="M266" s="2"/>
      <c r="N266" s="2"/>
      <c r="O266" s="2"/>
    </row>
    <row r="267" spans="10:15" x14ac:dyDescent="0.3">
      <c r="J267" s="2"/>
      <c r="K267" s="2"/>
      <c r="L267" s="2"/>
      <c r="M267" s="2"/>
      <c r="N267" s="2"/>
      <c r="O267" s="2"/>
    </row>
    <row r="268" spans="10:15" x14ac:dyDescent="0.3">
      <c r="J268" s="2"/>
      <c r="K268" s="2"/>
      <c r="L268" s="2"/>
      <c r="M268" s="2"/>
      <c r="N268" s="2"/>
      <c r="O268" s="2"/>
    </row>
    <row r="269" spans="10:15" x14ac:dyDescent="0.3">
      <c r="J269" s="2"/>
      <c r="K269" s="2"/>
      <c r="L269" s="2"/>
      <c r="M269" s="2"/>
      <c r="N269" s="2"/>
      <c r="O269" s="2"/>
    </row>
    <row r="270" spans="10:15" x14ac:dyDescent="0.3">
      <c r="J270" s="2"/>
      <c r="K270" s="2"/>
      <c r="L270" s="2"/>
      <c r="M270" s="2"/>
      <c r="N270" s="2"/>
      <c r="O270" s="2"/>
    </row>
    <row r="271" spans="10:15" x14ac:dyDescent="0.3">
      <c r="J271" s="2"/>
      <c r="K271" s="2"/>
      <c r="L271" s="2"/>
      <c r="M271" s="2"/>
      <c r="N271" s="2"/>
      <c r="O271" s="2"/>
    </row>
    <row r="272" spans="10:15" x14ac:dyDescent="0.3">
      <c r="J272" s="2"/>
      <c r="K272" s="2"/>
      <c r="L272" s="2"/>
      <c r="M272" s="2"/>
      <c r="N272" s="2"/>
      <c r="O272" s="2"/>
    </row>
    <row r="273" spans="10:15" x14ac:dyDescent="0.3">
      <c r="J273" s="2"/>
      <c r="K273" s="2"/>
      <c r="L273" s="2"/>
      <c r="M273" s="2"/>
      <c r="N273" s="2"/>
      <c r="O273" s="2"/>
    </row>
    <row r="274" spans="10:15" x14ac:dyDescent="0.3">
      <c r="J274" s="2"/>
      <c r="K274" s="2"/>
      <c r="L274" s="2"/>
      <c r="M274" s="2"/>
      <c r="N274" s="2"/>
      <c r="O274" s="2"/>
    </row>
    <row r="275" spans="10:15" x14ac:dyDescent="0.3">
      <c r="J275" s="2"/>
      <c r="K275" s="2"/>
      <c r="L275" s="2"/>
      <c r="M275" s="2"/>
      <c r="N275" s="2"/>
      <c r="O275" s="2"/>
    </row>
    <row r="276" spans="10:15" x14ac:dyDescent="0.3">
      <c r="J276" s="2"/>
      <c r="K276" s="2"/>
      <c r="L276" s="2"/>
      <c r="M276" s="2"/>
      <c r="N276" s="2"/>
      <c r="O276" s="2"/>
    </row>
    <row r="277" spans="10:15" x14ac:dyDescent="0.3">
      <c r="J277" s="2"/>
      <c r="K277" s="2"/>
      <c r="L277" s="2"/>
      <c r="M277" s="2"/>
      <c r="N277" s="2"/>
      <c r="O277" s="2"/>
    </row>
    <row r="278" spans="10:15" x14ac:dyDescent="0.3">
      <c r="J278" s="2"/>
      <c r="K278" s="2"/>
      <c r="L278" s="2"/>
      <c r="M278" s="2"/>
      <c r="N278" s="2"/>
      <c r="O278" s="2"/>
    </row>
    <row r="279" spans="10:15" x14ac:dyDescent="0.3">
      <c r="J279" s="2"/>
      <c r="K279" s="2"/>
      <c r="L279" s="2"/>
      <c r="M279" s="2"/>
      <c r="N279" s="2"/>
      <c r="O279" s="2"/>
    </row>
    <row r="280" spans="10:15" x14ac:dyDescent="0.3">
      <c r="J280" s="2"/>
      <c r="K280" s="2"/>
      <c r="L280" s="2"/>
      <c r="M280" s="2"/>
      <c r="N280" s="2"/>
      <c r="O280" s="2"/>
    </row>
    <row r="281" spans="10:15" x14ac:dyDescent="0.3">
      <c r="J281" s="2"/>
      <c r="K281" s="2"/>
      <c r="L281" s="2"/>
      <c r="M281" s="2"/>
      <c r="N281" s="2"/>
      <c r="O281" s="2"/>
    </row>
    <row r="282" spans="10:15" x14ac:dyDescent="0.3">
      <c r="J282" s="2"/>
      <c r="K282" s="2"/>
      <c r="L282" s="2"/>
      <c r="M282" s="2"/>
      <c r="N282" s="2"/>
      <c r="O28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7BBB-84F4-4C23-A3E5-4C183B3FA7D6}">
  <dimension ref="B2:C14"/>
  <sheetViews>
    <sheetView workbookViewId="0">
      <selection activeCell="B24" sqref="B24"/>
    </sheetView>
  </sheetViews>
  <sheetFormatPr defaultRowHeight="14.4" x14ac:dyDescent="0.3"/>
  <cols>
    <col min="1" max="1" width="5.6640625" customWidth="1"/>
    <col min="2" max="2" width="86.33203125" customWidth="1"/>
    <col min="3" max="3" width="12.6640625" customWidth="1"/>
  </cols>
  <sheetData>
    <row r="2" spans="2:3" x14ac:dyDescent="0.3">
      <c r="B2" t="s">
        <v>13</v>
      </c>
      <c r="C2" t="s">
        <v>14</v>
      </c>
    </row>
    <row r="3" spans="2:3" x14ac:dyDescent="0.3">
      <c r="B3" t="s">
        <v>15</v>
      </c>
      <c r="C3" t="s">
        <v>16</v>
      </c>
    </row>
    <row r="5" spans="2:3" x14ac:dyDescent="0.3">
      <c r="B5" t="s">
        <v>17</v>
      </c>
      <c r="C5" t="s">
        <v>18</v>
      </c>
    </row>
    <row r="6" spans="2:3" x14ac:dyDescent="0.3">
      <c r="B6" t="s">
        <v>19</v>
      </c>
      <c r="C6" s="2">
        <v>1.0999999999999999E-9</v>
      </c>
    </row>
    <row r="7" spans="2:3" x14ac:dyDescent="0.3">
      <c r="B7" t="s">
        <v>20</v>
      </c>
      <c r="C7" s="2">
        <v>2.4E-8</v>
      </c>
    </row>
    <row r="8" spans="2:3" x14ac:dyDescent="0.3">
      <c r="B8" t="s">
        <v>21</v>
      </c>
      <c r="C8" s="2">
        <v>3.2000000000000002E-8</v>
      </c>
    </row>
    <row r="9" spans="2:3" x14ac:dyDescent="0.3">
      <c r="B9" t="s">
        <v>22</v>
      </c>
      <c r="C9" s="2">
        <v>1.7999999999999999E-8</v>
      </c>
    </row>
    <row r="10" spans="2:3" x14ac:dyDescent="0.3">
      <c r="B10" t="s">
        <v>23</v>
      </c>
      <c r="C10" s="2">
        <v>1.9999999999999999E-7</v>
      </c>
    </row>
    <row r="12" spans="2:3" x14ac:dyDescent="0.3">
      <c r="B12" t="s">
        <v>96</v>
      </c>
      <c r="C12" s="2">
        <v>2.4999999999999999E-8</v>
      </c>
    </row>
    <row r="13" spans="2:3" x14ac:dyDescent="0.3">
      <c r="B13" t="s">
        <v>97</v>
      </c>
      <c r="C13" s="2">
        <v>2.9999999999999997E-8</v>
      </c>
    </row>
    <row r="14" spans="2:3" x14ac:dyDescent="0.3">
      <c r="B14" t="s">
        <v>98</v>
      </c>
      <c r="C14" s="2">
        <v>3.8000000000000001E-7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1d9b7d-e8f1-4062-898d-226d3ae224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94F7C5EDC0FC40A0AEDE1F66C73DD6" ma:contentTypeVersion="18" ma:contentTypeDescription="Creare un nuovo documento." ma:contentTypeScope="" ma:versionID="dde081d24c6d1b5dc8609758faf5f240">
  <xsd:schema xmlns:xsd="http://www.w3.org/2001/XMLSchema" xmlns:xs="http://www.w3.org/2001/XMLSchema" xmlns:p="http://schemas.microsoft.com/office/2006/metadata/properties" xmlns:ns3="101d9b7d-e8f1-4062-898d-226d3ae224a0" xmlns:ns4="e4c7e830-e078-4d77-aa05-825a658bb6be" targetNamespace="http://schemas.microsoft.com/office/2006/metadata/properties" ma:root="true" ma:fieldsID="218e559d37bc0066ca990fe24384648b" ns3:_="" ns4:_="">
    <xsd:import namespace="101d9b7d-e8f1-4062-898d-226d3ae224a0"/>
    <xsd:import namespace="e4c7e830-e078-4d77-aa05-825a658bb6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d9b7d-e8f1-4062-898d-226d3ae22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7e830-e078-4d77-aa05-825a658bb6b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5AC98F-5685-4724-B25F-CC1D3C2AF187}">
  <ds:schemaRefs>
    <ds:schemaRef ds:uri="http://schemas.openxmlformats.org/package/2006/metadata/core-properties"/>
    <ds:schemaRef ds:uri="http://www.w3.org/XML/1998/namespace"/>
    <ds:schemaRef ds:uri="http://purl.org/dc/elements/1.1/"/>
    <ds:schemaRef ds:uri="101d9b7d-e8f1-4062-898d-226d3ae224a0"/>
    <ds:schemaRef ds:uri="http://schemas.microsoft.com/office/2006/documentManagement/types"/>
    <ds:schemaRef ds:uri="http://purl.org/dc/dcmitype/"/>
    <ds:schemaRef ds:uri="http://schemas.microsoft.com/office/infopath/2007/PartnerControls"/>
    <ds:schemaRef ds:uri="e4c7e830-e078-4d77-aa05-825a658bb6b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F175DC4-8DF5-465B-A45E-1F2323D7B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1E43AA-2E7A-47F9-9350-445B0D362F6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01d9b7d-e8f1-4062-898d-226d3ae224a0"/>
    <ds:schemaRef ds:uri="e4c7e830-e078-4d77-aa05-825a658bb6b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Calc</vt:lpstr>
      <vt:lpstr>OIR - Ingestion m(t)</vt:lpstr>
      <vt:lpstr>OIR - Dose coefficients e(50)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Anastasi</dc:creator>
  <cp:lastModifiedBy>Michele Anastasi</cp:lastModifiedBy>
  <dcterms:created xsi:type="dcterms:W3CDTF">2025-05-14T14:48:13Z</dcterms:created>
  <dcterms:modified xsi:type="dcterms:W3CDTF">2025-07-28T08:04:00Z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0x010100A094F7C5EDC0FC40A0AEDE1F66C73DD6</vt:lpwstr>
  </property>
</Properties>
</file>